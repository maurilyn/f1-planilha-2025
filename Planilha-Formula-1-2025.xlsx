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13_ncr:1_{17EDF893-9DF1-4D9F-99EE-A4F67DB5FF3B}" xr6:coauthVersionLast="47" xr6:coauthVersionMax="47" xr10:uidLastSave="{00000000-0000-0000-0000-000000000000}"/>
  <workbookProtection workbookAlgorithmName="SHA-512" workbookHashValue="z9m/9Cc2VIhMYKV+4BADvtcnkc9M8stdShwAPDGRKzQENUPf7OJ97PinkNAjg8DLhDChpc9/e0Bj3vsRjG9IdQ==" workbookSaltValue="fBKmtg1vRxpMsxMSDcO/ng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5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2025'!$C$6:$G$33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Resultados!$B$1:$F$549</definedName>
    <definedName name="_xlnm.Print_Area" localSheetId="3">'Temporada 2025'!$B$6:$Z$49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3" i="17" l="1"/>
  <c r="A26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30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" i="17"/>
  <c r="S26" i="5"/>
  <c r="S25" i="5"/>
  <c r="S24" i="5"/>
  <c r="P26" i="5"/>
  <c r="P25" i="5"/>
  <c r="P24" i="5"/>
  <c r="M26" i="5"/>
  <c r="M25" i="5"/>
  <c r="M24" i="5"/>
  <c r="E760" i="5" l="1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E743" i="5"/>
  <c r="D743" i="5"/>
  <c r="H742" i="5"/>
  <c r="E742" i="5"/>
  <c r="D742" i="5"/>
  <c r="H741" i="5"/>
  <c r="G741" i="5"/>
  <c r="E741" i="5"/>
  <c r="D741" i="5"/>
  <c r="E680" i="5"/>
  <c r="D680" i="5"/>
  <c r="E679" i="5"/>
  <c r="D679" i="5"/>
  <c r="E678" i="5"/>
  <c r="D678" i="5"/>
  <c r="E677" i="5"/>
  <c r="D677" i="5"/>
  <c r="E676" i="5"/>
  <c r="D676" i="5"/>
  <c r="E675" i="5"/>
  <c r="D675" i="5"/>
  <c r="E674" i="5"/>
  <c r="D674" i="5"/>
  <c r="E673" i="5"/>
  <c r="D673" i="5"/>
  <c r="E672" i="5"/>
  <c r="D672" i="5"/>
  <c r="E671" i="5"/>
  <c r="D671" i="5"/>
  <c r="E670" i="5"/>
  <c r="D670" i="5"/>
  <c r="E669" i="5"/>
  <c r="D669" i="5"/>
  <c r="E668" i="5"/>
  <c r="D668" i="5"/>
  <c r="E667" i="5"/>
  <c r="D667" i="5"/>
  <c r="E666" i="5"/>
  <c r="D666" i="5"/>
  <c r="E665" i="5"/>
  <c r="D665" i="5"/>
  <c r="E664" i="5"/>
  <c r="D664" i="5"/>
  <c r="E663" i="5"/>
  <c r="D663" i="5"/>
  <c r="H662" i="5"/>
  <c r="E662" i="5"/>
  <c r="D662" i="5"/>
  <c r="H661" i="5"/>
  <c r="G661" i="5"/>
  <c r="E661" i="5"/>
  <c r="D661" i="5"/>
  <c r="H582" i="5"/>
  <c r="H581" i="5"/>
  <c r="G581" i="5"/>
  <c r="H390" i="5"/>
  <c r="H389" i="5"/>
  <c r="G389" i="5"/>
  <c r="H170" i="5"/>
  <c r="H169" i="5"/>
  <c r="G169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17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E799" i="5"/>
  <c r="D799" i="5"/>
  <c r="E798" i="5"/>
  <c r="D798" i="5"/>
  <c r="E797" i="5"/>
  <c r="D797" i="5"/>
  <c r="E796" i="5"/>
  <c r="D796" i="5"/>
  <c r="E795" i="5"/>
  <c r="D795" i="5"/>
  <c r="E794" i="5"/>
  <c r="D794" i="5"/>
  <c r="H793" i="5"/>
  <c r="E793" i="5"/>
  <c r="D793" i="5"/>
  <c r="I792" i="5"/>
  <c r="H792" i="5"/>
  <c r="G792" i="5"/>
  <c r="E792" i="5"/>
  <c r="D792" i="5"/>
  <c r="H789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E771" i="5"/>
  <c r="D771" i="5"/>
  <c r="E770" i="5"/>
  <c r="D770" i="5"/>
  <c r="E769" i="5"/>
  <c r="D769" i="5"/>
  <c r="E768" i="5"/>
  <c r="D768" i="5"/>
  <c r="E767" i="5"/>
  <c r="D767" i="5"/>
  <c r="E766" i="5"/>
  <c r="D766" i="5"/>
  <c r="H765" i="5"/>
  <c r="E765" i="5"/>
  <c r="D765" i="5"/>
  <c r="I764" i="5"/>
  <c r="H764" i="5"/>
  <c r="G764" i="5"/>
  <c r="E764" i="5"/>
  <c r="D764" i="5"/>
  <c r="H737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E715" i="5"/>
  <c r="D715" i="5"/>
  <c r="E714" i="5"/>
  <c r="D714" i="5"/>
  <c r="H713" i="5"/>
  <c r="E713" i="5"/>
  <c r="D713" i="5"/>
  <c r="I712" i="5"/>
  <c r="H712" i="5"/>
  <c r="G712" i="5"/>
  <c r="E712" i="5"/>
  <c r="D712" i="5"/>
  <c r="H709" i="5"/>
  <c r="E709" i="5"/>
  <c r="T23" i="5" s="1"/>
  <c r="D709" i="5"/>
  <c r="E708" i="5"/>
  <c r="Q23" i="5" s="1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E687" i="5"/>
  <c r="D687" i="5"/>
  <c r="E686" i="5"/>
  <c r="D686" i="5"/>
  <c r="H685" i="5"/>
  <c r="E685" i="5"/>
  <c r="D685" i="5"/>
  <c r="I684" i="5"/>
  <c r="H684" i="5"/>
  <c r="G684" i="5"/>
  <c r="E684" i="5"/>
  <c r="N23" i="5" s="1"/>
  <c r="D684" i="5"/>
  <c r="H657" i="5"/>
  <c r="E657" i="5"/>
  <c r="T22" i="5" s="1"/>
  <c r="D657" i="5"/>
  <c r="E656" i="5"/>
  <c r="Q22" i="5" s="1"/>
  <c r="D656" i="5"/>
  <c r="E655" i="5"/>
  <c r="D655" i="5"/>
  <c r="E654" i="5"/>
  <c r="D654" i="5"/>
  <c r="E653" i="5"/>
  <c r="D653" i="5"/>
  <c r="E652" i="5"/>
  <c r="D652" i="5"/>
  <c r="E651" i="5"/>
  <c r="D651" i="5"/>
  <c r="E650" i="5"/>
  <c r="D650" i="5"/>
  <c r="E649" i="5"/>
  <c r="D649" i="5"/>
  <c r="E648" i="5"/>
  <c r="D648" i="5"/>
  <c r="E647" i="5"/>
  <c r="D647" i="5"/>
  <c r="E646" i="5"/>
  <c r="D646" i="5"/>
  <c r="E645" i="5"/>
  <c r="D645" i="5"/>
  <c r="E644" i="5"/>
  <c r="D644" i="5"/>
  <c r="E643" i="5"/>
  <c r="D643" i="5"/>
  <c r="E642" i="5"/>
  <c r="D642" i="5"/>
  <c r="E641" i="5"/>
  <c r="D641" i="5"/>
  <c r="E640" i="5"/>
  <c r="D640" i="5"/>
  <c r="E639" i="5"/>
  <c r="D639" i="5"/>
  <c r="E638" i="5"/>
  <c r="D638" i="5"/>
  <c r="E637" i="5"/>
  <c r="D637" i="5"/>
  <c r="E636" i="5"/>
  <c r="D636" i="5"/>
  <c r="E635" i="5"/>
  <c r="D635" i="5"/>
  <c r="E634" i="5"/>
  <c r="D634" i="5"/>
  <c r="H633" i="5"/>
  <c r="E633" i="5"/>
  <c r="D633" i="5"/>
  <c r="I632" i="5"/>
  <c r="H632" i="5"/>
  <c r="G632" i="5"/>
  <c r="E632" i="5"/>
  <c r="N22" i="5" s="1"/>
  <c r="D632" i="5"/>
  <c r="H629" i="5"/>
  <c r="E627" i="5"/>
  <c r="D627" i="5"/>
  <c r="E626" i="5"/>
  <c r="D626" i="5"/>
  <c r="E625" i="5"/>
  <c r="D625" i="5"/>
  <c r="E624" i="5"/>
  <c r="D624" i="5"/>
  <c r="H605" i="5"/>
  <c r="I604" i="5"/>
  <c r="H604" i="5"/>
  <c r="G604" i="5"/>
  <c r="H577" i="5"/>
  <c r="E575" i="5"/>
  <c r="D575" i="5"/>
  <c r="E574" i="5"/>
  <c r="D574" i="5"/>
  <c r="E573" i="5"/>
  <c r="D573" i="5"/>
  <c r="E572" i="5"/>
  <c r="D572" i="5"/>
  <c r="H553" i="5"/>
  <c r="I552" i="5"/>
  <c r="H552" i="5"/>
  <c r="G552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B27" i="8"/>
  <c r="B32" i="1" s="1"/>
  <c r="I32" i="1" s="1"/>
  <c r="H15" i="8"/>
  <c r="B51" i="1" s="1"/>
  <c r="I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H549" i="5"/>
  <c r="E547" i="5"/>
  <c r="D547" i="5"/>
  <c r="E546" i="5"/>
  <c r="D546" i="5"/>
  <c r="E545" i="5"/>
  <c r="D545" i="5"/>
  <c r="E544" i="5"/>
  <c r="D544" i="5"/>
  <c r="H525" i="5"/>
  <c r="I524" i="5"/>
  <c r="H524" i="5"/>
  <c r="G524" i="5"/>
  <c r="H521" i="5"/>
  <c r="E519" i="5"/>
  <c r="D519" i="5"/>
  <c r="E518" i="5"/>
  <c r="D518" i="5"/>
  <c r="E517" i="5"/>
  <c r="D517" i="5"/>
  <c r="E516" i="5"/>
  <c r="D516" i="5"/>
  <c r="H497" i="5"/>
  <c r="I496" i="5"/>
  <c r="H496" i="5"/>
  <c r="G496" i="5"/>
  <c r="H493" i="5"/>
  <c r="E491" i="5"/>
  <c r="D491" i="5"/>
  <c r="E490" i="5"/>
  <c r="D490" i="5"/>
  <c r="E489" i="5"/>
  <c r="D489" i="5"/>
  <c r="E488" i="5"/>
  <c r="D488" i="5"/>
  <c r="H469" i="5"/>
  <c r="I468" i="5"/>
  <c r="H468" i="5"/>
  <c r="G468" i="5"/>
  <c r="K35" i="5" s="1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385" i="5"/>
  <c r="E383" i="5"/>
  <c r="D383" i="5"/>
  <c r="E382" i="5"/>
  <c r="D382" i="5"/>
  <c r="E381" i="5"/>
  <c r="D381" i="5"/>
  <c r="E380" i="5"/>
  <c r="D380" i="5"/>
  <c r="H361" i="5"/>
  <c r="I360" i="5"/>
  <c r="H360" i="5"/>
  <c r="G360" i="5"/>
  <c r="H357" i="5"/>
  <c r="E355" i="5"/>
  <c r="D355" i="5"/>
  <c r="E354" i="5"/>
  <c r="D354" i="5"/>
  <c r="E353" i="5"/>
  <c r="D353" i="5"/>
  <c r="E352" i="5"/>
  <c r="D352" i="5"/>
  <c r="H333" i="5"/>
  <c r="I332" i="5"/>
  <c r="H332" i="5"/>
  <c r="G332" i="5"/>
  <c r="H329" i="5"/>
  <c r="E327" i="5"/>
  <c r="D327" i="5"/>
  <c r="E326" i="5"/>
  <c r="D326" i="5"/>
  <c r="E325" i="5"/>
  <c r="D325" i="5"/>
  <c r="E324" i="5"/>
  <c r="D324" i="5"/>
  <c r="H305" i="5"/>
  <c r="I304" i="5"/>
  <c r="H304" i="5"/>
  <c r="G304" i="5"/>
  <c r="H301" i="5"/>
  <c r="E299" i="5"/>
  <c r="D299" i="5"/>
  <c r="E298" i="5"/>
  <c r="D298" i="5"/>
  <c r="E297" i="5"/>
  <c r="D297" i="5"/>
  <c r="E296" i="5"/>
  <c r="D296" i="5"/>
  <c r="H277" i="5"/>
  <c r="I276" i="5"/>
  <c r="H276" i="5"/>
  <c r="G276" i="5"/>
  <c r="H273" i="5"/>
  <c r="E271" i="5"/>
  <c r="D271" i="5"/>
  <c r="E270" i="5"/>
  <c r="D270" i="5"/>
  <c r="E269" i="5"/>
  <c r="D269" i="5"/>
  <c r="E268" i="5"/>
  <c r="D268" i="5"/>
  <c r="H249" i="5"/>
  <c r="I248" i="5"/>
  <c r="H248" i="5"/>
  <c r="G248" i="5"/>
  <c r="H245" i="5"/>
  <c r="E243" i="5"/>
  <c r="D243" i="5"/>
  <c r="E242" i="5"/>
  <c r="D242" i="5"/>
  <c r="E241" i="5"/>
  <c r="D241" i="5"/>
  <c r="E240" i="5"/>
  <c r="D240" i="5"/>
  <c r="H221" i="5"/>
  <c r="I220" i="5"/>
  <c r="H220" i="5"/>
  <c r="G220" i="5"/>
  <c r="H217" i="5"/>
  <c r="E215" i="5"/>
  <c r="D215" i="5"/>
  <c r="E214" i="5"/>
  <c r="D214" i="5"/>
  <c r="E213" i="5"/>
  <c r="D213" i="5"/>
  <c r="E212" i="5"/>
  <c r="D212" i="5"/>
  <c r="H193" i="5"/>
  <c r="I192" i="5"/>
  <c r="H192" i="5"/>
  <c r="G192" i="5"/>
  <c r="H165" i="5"/>
  <c r="E163" i="5"/>
  <c r="D163" i="5"/>
  <c r="E162" i="5"/>
  <c r="D162" i="5"/>
  <c r="E161" i="5"/>
  <c r="D161" i="5"/>
  <c r="E160" i="5"/>
  <c r="D160" i="5"/>
  <c r="H141" i="5"/>
  <c r="I140" i="5"/>
  <c r="H140" i="5"/>
  <c r="G140" i="5"/>
  <c r="H137" i="5"/>
  <c r="E135" i="5"/>
  <c r="D135" i="5"/>
  <c r="E134" i="5"/>
  <c r="D134" i="5"/>
  <c r="E133" i="5"/>
  <c r="D133" i="5"/>
  <c r="E132" i="5"/>
  <c r="D132" i="5"/>
  <c r="H113" i="5"/>
  <c r="I112" i="5"/>
  <c r="H112" i="5"/>
  <c r="G112" i="5"/>
  <c r="H109" i="5"/>
  <c r="E107" i="5"/>
  <c r="D107" i="5"/>
  <c r="E106" i="5"/>
  <c r="D106" i="5"/>
  <c r="E105" i="5"/>
  <c r="D105" i="5"/>
  <c r="E104" i="5"/>
  <c r="D104" i="5"/>
  <c r="H85" i="5"/>
  <c r="I84" i="5"/>
  <c r="H84" i="5"/>
  <c r="G84" i="5"/>
  <c r="H81" i="5"/>
  <c r="E79" i="5"/>
  <c r="D79" i="5"/>
  <c r="E78" i="5"/>
  <c r="D78" i="5"/>
  <c r="E77" i="5"/>
  <c r="D77" i="5"/>
  <c r="E76" i="5"/>
  <c r="D76" i="5"/>
  <c r="H57" i="5"/>
  <c r="I56" i="5"/>
  <c r="H56" i="5"/>
  <c r="G56" i="5"/>
  <c r="K29" i="5"/>
  <c r="J29" i="5" s="1"/>
  <c r="H29" i="5"/>
  <c r="K28" i="5"/>
  <c r="J28" i="5" s="1"/>
  <c r="K27" i="5"/>
  <c r="J27" i="5" s="1"/>
  <c r="E27" i="5"/>
  <c r="D27" i="5"/>
  <c r="K26" i="5"/>
  <c r="J26" i="5" s="1"/>
  <c r="E26" i="5"/>
  <c r="D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B11" i="1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AQ29" i="9" l="1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658" i="5"/>
  <c r="F522" i="5"/>
  <c r="F386" i="5"/>
  <c r="F274" i="5"/>
  <c r="F138" i="5"/>
  <c r="B110" i="5"/>
  <c r="F218" i="5"/>
  <c r="C658" i="5"/>
  <c r="C522" i="5"/>
  <c r="C386" i="5"/>
  <c r="C274" i="5"/>
  <c r="C138" i="5"/>
  <c r="F630" i="5"/>
  <c r="F358" i="5"/>
  <c r="F110" i="5"/>
  <c r="B790" i="5"/>
  <c r="B494" i="5"/>
  <c r="B358" i="5"/>
  <c r="F578" i="5"/>
  <c r="F466" i="5"/>
  <c r="F82" i="5"/>
  <c r="B658" i="5"/>
  <c r="B522" i="5"/>
  <c r="B386" i="5"/>
  <c r="B274" i="5"/>
  <c r="B138" i="5"/>
  <c r="F790" i="5"/>
  <c r="F494" i="5"/>
  <c r="F246" i="5"/>
  <c r="B630" i="5"/>
  <c r="B246" i="5"/>
  <c r="F738" i="5"/>
  <c r="F330" i="5"/>
  <c r="C790" i="5"/>
  <c r="C630" i="5"/>
  <c r="C494" i="5"/>
  <c r="C358" i="5"/>
  <c r="C246" i="5"/>
  <c r="C110" i="5"/>
  <c r="C738" i="5"/>
  <c r="C578" i="5"/>
  <c r="C466" i="5"/>
  <c r="C330" i="5"/>
  <c r="C218" i="5"/>
  <c r="C82" i="5"/>
  <c r="B738" i="5"/>
  <c r="B578" i="5"/>
  <c r="B466" i="5"/>
  <c r="B330" i="5"/>
  <c r="B218" i="5"/>
  <c r="B82" i="5"/>
  <c r="C710" i="5"/>
  <c r="C550" i="5"/>
  <c r="C438" i="5"/>
  <c r="C302" i="5"/>
  <c r="C30" i="5"/>
  <c r="B710" i="5"/>
  <c r="B302" i="5"/>
  <c r="B30" i="5"/>
  <c r="F710" i="5"/>
  <c r="F550" i="5"/>
  <c r="F438" i="5"/>
  <c r="F302" i="5"/>
  <c r="F166" i="5"/>
  <c r="F30" i="5"/>
  <c r="C166" i="5"/>
  <c r="B550" i="5"/>
  <c r="B438" i="5"/>
  <c r="B166" i="5"/>
  <c r="D612" i="5"/>
  <c r="D606" i="5"/>
  <c r="E615" i="5"/>
  <c r="E581" i="5"/>
  <c r="D621" i="5"/>
  <c r="E600" i="5"/>
  <c r="E594" i="5"/>
  <c r="E588" i="5"/>
  <c r="E629" i="5"/>
  <c r="T21" i="5" s="1"/>
  <c r="E611" i="5"/>
  <c r="E610" i="5"/>
  <c r="D622" i="5"/>
  <c r="D610" i="5"/>
  <c r="E598" i="5"/>
  <c r="E586" i="5"/>
  <c r="E621" i="5"/>
  <c r="D592" i="5"/>
  <c r="D594" i="5"/>
  <c r="D588" i="5"/>
  <c r="E582" i="5"/>
  <c r="D629" i="5"/>
  <c r="D617" i="5"/>
  <c r="E605" i="5"/>
  <c r="E593" i="5"/>
  <c r="E587" i="5"/>
  <c r="E628" i="5"/>
  <c r="Q21" i="5" s="1"/>
  <c r="E616" i="5"/>
  <c r="D628" i="5"/>
  <c r="D616" i="5"/>
  <c r="E592" i="5"/>
  <c r="E609" i="5"/>
  <c r="D586" i="5"/>
  <c r="D609" i="5"/>
  <c r="D598" i="5"/>
  <c r="E597" i="5"/>
  <c r="E585" i="5"/>
  <c r="D581" i="5"/>
  <c r="E620" i="5"/>
  <c r="E614" i="5"/>
  <c r="E608" i="5"/>
  <c r="E604" i="5"/>
  <c r="N21" i="5" s="1"/>
  <c r="D591" i="5"/>
  <c r="D585" i="5"/>
  <c r="D614" i="5"/>
  <c r="D608" i="5"/>
  <c r="D604" i="5"/>
  <c r="D590" i="5"/>
  <c r="D619" i="5"/>
  <c r="D607" i="5"/>
  <c r="E618" i="5"/>
  <c r="E596" i="5"/>
  <c r="E613" i="5"/>
  <c r="E607" i="5"/>
  <c r="D584" i="5"/>
  <c r="D613" i="5"/>
  <c r="E589" i="5"/>
  <c r="E606" i="5"/>
  <c r="B12" i="1"/>
  <c r="B8" i="1"/>
  <c r="B9" i="1"/>
  <c r="B10" i="1"/>
  <c r="D392" i="5"/>
  <c r="D557" i="5"/>
  <c r="E399" i="5"/>
  <c r="E563" i="5"/>
  <c r="E393" i="5"/>
  <c r="E569" i="5"/>
  <c r="D404" i="5"/>
  <c r="D565" i="5"/>
  <c r="D403" i="5"/>
  <c r="D577" i="5"/>
  <c r="D559" i="5"/>
  <c r="D396" i="5"/>
  <c r="D562" i="5"/>
  <c r="E400" i="5"/>
  <c r="E576" i="5"/>
  <c r="Q20" i="5" s="1"/>
  <c r="E552" i="5"/>
  <c r="N20" i="5" s="1"/>
  <c r="E406" i="5"/>
  <c r="E571" i="5"/>
  <c r="E405" i="5"/>
  <c r="E556" i="5"/>
  <c r="D397" i="5"/>
  <c r="D568" i="5"/>
  <c r="E390" i="5"/>
  <c r="E555" i="5"/>
  <c r="E401" i="5"/>
  <c r="E564" i="5"/>
  <c r="E389" i="5"/>
  <c r="E553" i="5"/>
  <c r="E402" i="5"/>
  <c r="E558" i="5"/>
  <c r="D408" i="5"/>
  <c r="D570" i="5"/>
  <c r="L35" i="5"/>
  <c r="K30" i="5"/>
  <c r="E51" i="5"/>
  <c r="E177" i="5"/>
  <c r="D50" i="5"/>
  <c r="D183" i="5"/>
  <c r="E36" i="5"/>
  <c r="E172" i="5"/>
  <c r="E39" i="5"/>
  <c r="E175" i="5"/>
  <c r="E42" i="5"/>
  <c r="E186" i="5"/>
  <c r="E41" i="5"/>
  <c r="E173" i="5"/>
  <c r="D44" i="5"/>
  <c r="D176" i="5"/>
  <c r="E34" i="5"/>
  <c r="E170" i="5"/>
  <c r="E48" i="5"/>
  <c r="E180" i="5"/>
  <c r="D37" i="5"/>
  <c r="D188" i="5"/>
  <c r="D33" i="5"/>
  <c r="D171" i="5"/>
  <c r="E38" i="5"/>
  <c r="E174" i="5"/>
  <c r="D45" i="5"/>
  <c r="D178" i="5"/>
  <c r="E35" i="5"/>
  <c r="E185" i="5"/>
  <c r="D43" i="5"/>
  <c r="D179" i="5"/>
  <c r="B661" i="5"/>
  <c r="B741" i="5"/>
  <c r="B389" i="5"/>
  <c r="B581" i="5"/>
  <c r="B33" i="5"/>
  <c r="B169" i="5"/>
  <c r="B712" i="5"/>
  <c r="B552" i="5"/>
  <c r="B632" i="5"/>
  <c r="B764" i="5"/>
  <c r="B604" i="5"/>
  <c r="B792" i="5"/>
  <c r="B68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C23" i="9"/>
  <c r="D620" i="5" s="1"/>
  <c r="D23" i="9"/>
  <c r="E567" i="5" s="1"/>
  <c r="D19" i="9"/>
  <c r="E565" i="5" s="1"/>
  <c r="BC10" i="9"/>
  <c r="B16" i="1"/>
  <c r="B19" i="1"/>
  <c r="B13" i="1"/>
  <c r="B24" i="1"/>
  <c r="BC12" i="9"/>
  <c r="B14" i="1"/>
  <c r="T46" i="9"/>
  <c r="C45" i="9"/>
  <c r="M45" i="9"/>
  <c r="X45" i="9"/>
  <c r="D45" i="9"/>
  <c r="O45" i="9"/>
  <c r="Y45" i="9"/>
  <c r="I45" i="9"/>
  <c r="T45" i="9"/>
  <c r="H45" i="9"/>
  <c r="S45" i="9"/>
  <c r="AC45" i="9"/>
  <c r="AZ27" i="9"/>
  <c r="BC27" i="9"/>
  <c r="AV27" i="9"/>
  <c r="AQ27" i="9"/>
  <c r="AK27" i="9"/>
  <c r="AF27" i="9"/>
  <c r="AA27" i="9"/>
  <c r="U27" i="9"/>
  <c r="P27" i="9"/>
  <c r="K27" i="9"/>
  <c r="E27" i="9"/>
  <c r="A27" i="9"/>
  <c r="BA27" i="9"/>
  <c r="AU27" i="9"/>
  <c r="AO27" i="9"/>
  <c r="AJ27" i="9"/>
  <c r="AE27" i="9"/>
  <c r="Y27" i="9"/>
  <c r="T27" i="9"/>
  <c r="O27" i="9"/>
  <c r="I27" i="9"/>
  <c r="D27" i="9"/>
  <c r="W27" i="9"/>
  <c r="AR27" i="9"/>
  <c r="D6" i="9"/>
  <c r="E223" i="5" s="1"/>
  <c r="M27" i="9"/>
  <c r="AI27" i="9"/>
  <c r="D28" i="9"/>
  <c r="D36" i="9"/>
  <c r="D40" i="9"/>
  <c r="D44" i="9"/>
  <c r="AB46" i="9"/>
  <c r="L46" i="9"/>
  <c r="X46" i="9"/>
  <c r="H46" i="9"/>
  <c r="D5" i="9"/>
  <c r="E557" i="5" s="1"/>
  <c r="BC6" i="9"/>
  <c r="C10" i="9"/>
  <c r="BC13" i="9"/>
  <c r="AB27" i="9"/>
  <c r="AW27" i="9"/>
  <c r="D46" i="9"/>
  <c r="L27" i="9"/>
  <c r="AG27" i="9"/>
  <c r="BB28" i="9"/>
  <c r="AR28" i="9"/>
  <c r="AB28" i="9"/>
  <c r="L28" i="9"/>
  <c r="AN28" i="9"/>
  <c r="X28" i="9"/>
  <c r="H28" i="9"/>
  <c r="AF28" i="9"/>
  <c r="H4" i="8"/>
  <c r="B39" i="1"/>
  <c r="BC18" i="9"/>
  <c r="D22" i="9"/>
  <c r="E568" i="5" s="1"/>
  <c r="C27" i="9"/>
  <c r="X27" i="9"/>
  <c r="AS27" i="9"/>
  <c r="AJ28" i="9"/>
  <c r="D38" i="9"/>
  <c r="C11" i="9"/>
  <c r="D597" i="5" s="1"/>
  <c r="G27" i="9"/>
  <c r="Q27" i="9"/>
  <c r="AM27" i="9"/>
  <c r="P28" i="9"/>
  <c r="BC5" i="9"/>
  <c r="C9" i="9"/>
  <c r="D582" i="5" s="1"/>
  <c r="BC17" i="9"/>
  <c r="C21" i="9"/>
  <c r="D571" i="5" s="1"/>
  <c r="BC23" i="9"/>
  <c r="H27" i="9"/>
  <c r="S27" i="9"/>
  <c r="AC27" i="9"/>
  <c r="AN27" i="9"/>
  <c r="AY27" i="9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E45" i="9"/>
  <c r="K45" i="9"/>
  <c r="P45" i="9"/>
  <c r="U45" i="9"/>
  <c r="AA45" i="9"/>
  <c r="A47" i="9"/>
  <c r="M47" i="9"/>
  <c r="AC47" i="9"/>
  <c r="J3" i="5"/>
  <c r="C25" i="9"/>
  <c r="I29" i="9"/>
  <c r="Q29" i="9"/>
  <c r="Y29" i="9"/>
  <c r="AG29" i="9"/>
  <c r="AO29" i="9"/>
  <c r="AW29" i="9"/>
  <c r="V30" i="9"/>
  <c r="G45" i="9"/>
  <c r="L45" i="9"/>
  <c r="Q45" i="9"/>
  <c r="W45" i="9"/>
  <c r="AB45" i="9"/>
  <c r="Q47" i="9"/>
  <c r="AG47" i="9"/>
  <c r="C24" i="9"/>
  <c r="C26" i="9"/>
  <c r="D24" i="9"/>
  <c r="D26" i="9"/>
  <c r="BC21" i="9"/>
  <c r="E514" i="5"/>
  <c r="E499" i="5"/>
  <c r="E444" i="5"/>
  <c r="E524" i="5"/>
  <c r="N19" i="5" s="1"/>
  <c r="E476" i="5"/>
  <c r="E502" i="5"/>
  <c r="E441" i="5"/>
  <c r="E543" i="5"/>
  <c r="BC3" i="9"/>
  <c r="C3" i="9"/>
  <c r="D605" i="5" s="1"/>
  <c r="BC4" i="9"/>
  <c r="D3" i="9"/>
  <c r="E497" i="5" s="1"/>
  <c r="C4" i="9"/>
  <c r="D555" i="5" s="1"/>
  <c r="C16" i="9"/>
  <c r="D560" i="5" s="1"/>
  <c r="C17" i="9"/>
  <c r="D563" i="5" s="1"/>
  <c r="D18" i="9"/>
  <c r="E562" i="5" s="1"/>
  <c r="C7" i="9"/>
  <c r="C12" i="9"/>
  <c r="D600" i="5" s="1"/>
  <c r="D13" i="9"/>
  <c r="E570" i="5" s="1"/>
  <c r="C15" i="9"/>
  <c r="D618" i="5" s="1"/>
  <c r="D16" i="9"/>
  <c r="E595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F27" i="9"/>
  <c r="J27" i="9"/>
  <c r="N27" i="9"/>
  <c r="R27" i="9"/>
  <c r="V27" i="9"/>
  <c r="Z27" i="9"/>
  <c r="AD27" i="9"/>
  <c r="AH27" i="9"/>
  <c r="AL27" i="9"/>
  <c r="AP27" i="9"/>
  <c r="AT27" i="9"/>
  <c r="AX27" i="9"/>
  <c r="BB27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F45" i="9"/>
  <c r="J45" i="9"/>
  <c r="N45" i="9"/>
  <c r="R45" i="9"/>
  <c r="V45" i="9"/>
  <c r="Z45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24" i="5"/>
  <c r="B468" i="5"/>
  <c r="B332" i="5"/>
  <c r="B220" i="5"/>
  <c r="B412" i="5"/>
  <c r="B360" i="5"/>
  <c r="B248" i="5"/>
  <c r="B440" i="5"/>
  <c r="B276" i="5"/>
  <c r="B4" i="5"/>
  <c r="B496" i="5"/>
  <c r="B304" i="5"/>
  <c r="B192" i="5"/>
  <c r="B140" i="5"/>
  <c r="B112" i="5"/>
  <c r="B84" i="5"/>
  <c r="B56" i="5"/>
  <c r="B469" i="5"/>
  <c r="B441" i="5"/>
  <c r="B413" i="5"/>
  <c r="B361" i="5"/>
  <c r="B497" i="5"/>
  <c r="B277" i="5"/>
  <c r="B193" i="5"/>
  <c r="B141" i="5"/>
  <c r="B57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E24" i="9"/>
  <c r="BC22" i="9"/>
  <c r="C8" i="9"/>
  <c r="D566" i="5" s="1"/>
  <c r="D8" i="9"/>
  <c r="E566" i="5" s="1"/>
  <c r="BC11" i="9"/>
  <c r="BC15" i="9"/>
  <c r="BC19" i="9"/>
  <c r="B20" i="1"/>
  <c r="B15" i="1"/>
  <c r="B23" i="1"/>
  <c r="C20" i="9"/>
  <c r="D623" i="5" s="1"/>
  <c r="D20" i="9"/>
  <c r="E623" i="5" s="1"/>
  <c r="BC20" i="9"/>
  <c r="D319" i="5"/>
  <c r="E361" i="5"/>
  <c r="E308" i="5"/>
  <c r="E251" i="5"/>
  <c r="E357" i="5"/>
  <c r="T13" i="5" s="1"/>
  <c r="E367" i="5"/>
  <c r="E414" i="5"/>
  <c r="E305" i="5"/>
  <c r="E194" i="5"/>
  <c r="E164" i="5"/>
  <c r="Q7" i="5" s="1"/>
  <c r="E29" i="5"/>
  <c r="T3" i="5" s="1"/>
  <c r="D363" i="5"/>
  <c r="E245" i="5"/>
  <c r="T9" i="5" s="1"/>
  <c r="E368" i="5"/>
  <c r="E310" i="5"/>
  <c r="E347" i="5"/>
  <c r="E253" i="5"/>
  <c r="E350" i="5"/>
  <c r="E231" i="5"/>
  <c r="E226" i="5"/>
  <c r="E419" i="5"/>
  <c r="E281" i="5"/>
  <c r="E154" i="5"/>
  <c r="E205" i="5"/>
  <c r="E117" i="5"/>
  <c r="E23" i="5"/>
  <c r="BC8" i="9"/>
  <c r="B17" i="1"/>
  <c r="B21" i="1"/>
  <c r="B25" i="1"/>
  <c r="B18" i="1"/>
  <c r="B22" i="1"/>
  <c r="B26" i="1"/>
  <c r="E583" i="5" l="1"/>
  <c r="D596" i="5"/>
  <c r="E430" i="5"/>
  <c r="E584" i="5"/>
  <c r="D587" i="5"/>
  <c r="E617" i="5"/>
  <c r="D583" i="5"/>
  <c r="E591" i="5"/>
  <c r="E622" i="5"/>
  <c r="E619" i="5"/>
  <c r="E224" i="5"/>
  <c r="E472" i="5"/>
  <c r="E590" i="5"/>
  <c r="D593" i="5"/>
  <c r="E612" i="5"/>
  <c r="D589" i="5"/>
  <c r="E417" i="5"/>
  <c r="E91" i="5"/>
  <c r="D599" i="5"/>
  <c r="D615" i="5"/>
  <c r="D595" i="5"/>
  <c r="D611" i="5"/>
  <c r="E599" i="5"/>
  <c r="E255" i="5"/>
  <c r="D407" i="5"/>
  <c r="D567" i="5"/>
  <c r="E394" i="5"/>
  <c r="E561" i="5"/>
  <c r="D394" i="5"/>
  <c r="D561" i="5"/>
  <c r="D143" i="5"/>
  <c r="D554" i="5"/>
  <c r="E370" i="5"/>
  <c r="E560" i="5"/>
  <c r="E403" i="5"/>
  <c r="E577" i="5"/>
  <c r="T20" i="5" s="1"/>
  <c r="E559" i="5"/>
  <c r="D393" i="5"/>
  <c r="D569" i="5"/>
  <c r="D576" i="5"/>
  <c r="D552" i="5"/>
  <c r="D513" i="5"/>
  <c r="D564" i="5"/>
  <c r="D402" i="5"/>
  <c r="D558" i="5"/>
  <c r="D405" i="5"/>
  <c r="D556" i="5"/>
  <c r="E391" i="5"/>
  <c r="E554" i="5"/>
  <c r="D415" i="5"/>
  <c r="D553" i="5"/>
  <c r="E90" i="5"/>
  <c r="D114" i="5"/>
  <c r="D227" i="5"/>
  <c r="E176" i="5"/>
  <c r="E408" i="5"/>
  <c r="E351" i="5"/>
  <c r="D10" i="5"/>
  <c r="D406" i="5"/>
  <c r="E542" i="5"/>
  <c r="D185" i="5"/>
  <c r="D389" i="5"/>
  <c r="D172" i="5"/>
  <c r="D400" i="5"/>
  <c r="E183" i="5"/>
  <c r="E397" i="5"/>
  <c r="E204" i="5"/>
  <c r="E178" i="5"/>
  <c r="E396" i="5"/>
  <c r="D174" i="5"/>
  <c r="D399" i="5"/>
  <c r="E181" i="5"/>
  <c r="E398" i="5"/>
  <c r="D182" i="5"/>
  <c r="D395" i="5"/>
  <c r="E179" i="5"/>
  <c r="E404" i="5"/>
  <c r="D181" i="5"/>
  <c r="D398" i="5"/>
  <c r="D170" i="5"/>
  <c r="D390" i="5"/>
  <c r="E131" i="5"/>
  <c r="E407" i="5"/>
  <c r="D452" i="5"/>
  <c r="D173" i="5"/>
  <c r="D401" i="5"/>
  <c r="D169" i="5"/>
  <c r="D391" i="5"/>
  <c r="E182" i="5"/>
  <c r="E395" i="5"/>
  <c r="E188" i="5"/>
  <c r="E392" i="5"/>
  <c r="E249" i="5"/>
  <c r="E152" i="5"/>
  <c r="D48" i="5"/>
  <c r="D180" i="5"/>
  <c r="D51" i="5"/>
  <c r="D177" i="5"/>
  <c r="D42" i="5"/>
  <c r="D186" i="5"/>
  <c r="D52" i="5"/>
  <c r="D184" i="5"/>
  <c r="E115" i="5"/>
  <c r="E142" i="5"/>
  <c r="E73" i="5"/>
  <c r="E97" i="5"/>
  <c r="E187" i="5"/>
  <c r="E40" i="5"/>
  <c r="E169" i="5"/>
  <c r="D49" i="5"/>
  <c r="D187" i="5"/>
  <c r="D39" i="5"/>
  <c r="D175" i="5"/>
  <c r="D211" i="5"/>
  <c r="E33" i="5"/>
  <c r="E171" i="5"/>
  <c r="E52" i="5"/>
  <c r="E184" i="5"/>
  <c r="E57" i="5"/>
  <c r="E85" i="5"/>
  <c r="E4" i="5"/>
  <c r="N3" i="5" s="1"/>
  <c r="D88" i="5"/>
  <c r="D46" i="5"/>
  <c r="D464" i="5"/>
  <c r="D47" i="5"/>
  <c r="E259" i="5"/>
  <c r="E43" i="5"/>
  <c r="D436" i="5"/>
  <c r="D34" i="5"/>
  <c r="E130" i="5"/>
  <c r="E49" i="5"/>
  <c r="D279" i="5"/>
  <c r="D41" i="5"/>
  <c r="E446" i="5"/>
  <c r="E46" i="5"/>
  <c r="D468" i="5"/>
  <c r="D40" i="5"/>
  <c r="E195" i="5"/>
  <c r="E47" i="5"/>
  <c r="E151" i="5"/>
  <c r="E37" i="5"/>
  <c r="E431" i="5"/>
  <c r="E44" i="5"/>
  <c r="D420" i="5"/>
  <c r="D38" i="5"/>
  <c r="D548" i="5"/>
  <c r="D35" i="5"/>
  <c r="D459" i="5"/>
  <c r="D36" i="5"/>
  <c r="E72" i="5"/>
  <c r="E50" i="5"/>
  <c r="E125" i="5"/>
  <c r="E45" i="5"/>
  <c r="B662" i="5"/>
  <c r="B742" i="5"/>
  <c r="B390" i="5"/>
  <c r="B582" i="5"/>
  <c r="B34" i="5"/>
  <c r="B170" i="5"/>
  <c r="B605" i="5"/>
  <c r="B793" i="5"/>
  <c r="B633" i="5"/>
  <c r="B765" i="5"/>
  <c r="B685" i="5"/>
  <c r="B713" i="5"/>
  <c r="B553" i="5"/>
  <c r="E108" i="5"/>
  <c r="Q5" i="5" s="1"/>
  <c r="E283" i="5"/>
  <c r="E6" i="5"/>
  <c r="E505" i="5"/>
  <c r="D60" i="5"/>
  <c r="E447" i="5"/>
  <c r="E443" i="5"/>
  <c r="E373" i="5"/>
  <c r="E541" i="5"/>
  <c r="D520" i="5"/>
  <c r="D498" i="5"/>
  <c r="E531" i="5"/>
  <c r="D525" i="5"/>
  <c r="D541" i="5"/>
  <c r="E26" i="9"/>
  <c r="D529" i="5"/>
  <c r="E286" i="5"/>
  <c r="E59" i="5"/>
  <c r="E425" i="5"/>
  <c r="D81" i="5"/>
  <c r="E481" i="5"/>
  <c r="E276" i="5"/>
  <c r="N11" i="5" s="1"/>
  <c r="D221" i="5"/>
  <c r="D86" i="5"/>
  <c r="D63" i="5"/>
  <c r="E313" i="5"/>
  <c r="E278" i="5"/>
  <c r="D492" i="5"/>
  <c r="D469" i="5"/>
  <c r="E486" i="5"/>
  <c r="E470" i="5"/>
  <c r="E200" i="5"/>
  <c r="E332" i="5"/>
  <c r="N13" i="5" s="1"/>
  <c r="E385" i="5"/>
  <c r="T14" i="5" s="1"/>
  <c r="E10" i="5"/>
  <c r="E141" i="5"/>
  <c r="E328" i="5"/>
  <c r="Q12" i="5" s="1"/>
  <c r="E301" i="5"/>
  <c r="T11" i="5" s="1"/>
  <c r="E384" i="5"/>
  <c r="Q14" i="5" s="1"/>
  <c r="D329" i="5"/>
  <c r="E103" i="5"/>
  <c r="E225" i="5"/>
  <c r="E364" i="5"/>
  <c r="E136" i="5"/>
  <c r="Q6" i="5" s="1"/>
  <c r="E112" i="5"/>
  <c r="N6" i="5" s="1"/>
  <c r="D144" i="5"/>
  <c r="D250" i="5"/>
  <c r="D116" i="5"/>
  <c r="D300" i="5"/>
  <c r="D252" i="5"/>
  <c r="E374" i="5"/>
  <c r="D348" i="5"/>
  <c r="D448" i="5"/>
  <c r="E320" i="5"/>
  <c r="D137" i="5"/>
  <c r="E346" i="5"/>
  <c r="D437" i="5"/>
  <c r="E65" i="5"/>
  <c r="E256" i="5"/>
  <c r="D80" i="5"/>
  <c r="D362" i="5"/>
  <c r="E19" i="5"/>
  <c r="E258" i="5"/>
  <c r="D58" i="5"/>
  <c r="D277" i="5"/>
  <c r="D412" i="5"/>
  <c r="E87" i="5"/>
  <c r="D7" i="5"/>
  <c r="D193" i="5"/>
  <c r="D244" i="5"/>
  <c r="Q9" i="5" s="1"/>
  <c r="D225" i="5"/>
  <c r="D61" i="5"/>
  <c r="D347" i="5"/>
  <c r="D8" i="5"/>
  <c r="E288" i="5"/>
  <c r="E287" i="5"/>
  <c r="E371" i="5"/>
  <c r="D222" i="5"/>
  <c r="D306" i="5"/>
  <c r="D333" i="5"/>
  <c r="D273" i="5"/>
  <c r="E423" i="5"/>
  <c r="E16" i="5"/>
  <c r="D440" i="5"/>
  <c r="E5" i="9"/>
  <c r="E6" i="9"/>
  <c r="E23" i="9"/>
  <c r="E10" i="9"/>
  <c r="E9" i="5"/>
  <c r="D118" i="5"/>
  <c r="D72" i="5"/>
  <c r="D226" i="5"/>
  <c r="D255" i="5"/>
  <c r="D103" i="5"/>
  <c r="D125" i="5"/>
  <c r="E533" i="5"/>
  <c r="D205" i="5"/>
  <c r="E67" i="5"/>
  <c r="D313" i="5"/>
  <c r="D288" i="5"/>
  <c r="D371" i="5"/>
  <c r="E312" i="5"/>
  <c r="E418" i="5"/>
  <c r="E198" i="5"/>
  <c r="E102" i="5"/>
  <c r="E229" i="5"/>
  <c r="E261" i="5"/>
  <c r="E233" i="5"/>
  <c r="E334" i="5"/>
  <c r="E13" i="5"/>
  <c r="D206" i="5"/>
  <c r="D427" i="5"/>
  <c r="D254" i="5"/>
  <c r="D129" i="5"/>
  <c r="D515" i="5"/>
  <c r="E14" i="5"/>
  <c r="E128" i="5"/>
  <c r="E217" i="5"/>
  <c r="T8" i="5" s="1"/>
  <c r="E145" i="5"/>
  <c r="E307" i="5"/>
  <c r="D349" i="5"/>
  <c r="D15" i="5"/>
  <c r="E63" i="5"/>
  <c r="E89" i="5"/>
  <c r="E227" i="5"/>
  <c r="E282" i="5"/>
  <c r="E365" i="5"/>
  <c r="E340" i="5"/>
  <c r="E292" i="5"/>
  <c r="E148" i="5"/>
  <c r="E454" i="5"/>
  <c r="E196" i="5"/>
  <c r="D16" i="5"/>
  <c r="E96" i="5"/>
  <c r="D287" i="5"/>
  <c r="E109" i="5"/>
  <c r="T5" i="5" s="1"/>
  <c r="E345" i="5"/>
  <c r="E257" i="5"/>
  <c r="D23" i="5"/>
  <c r="E124" i="5"/>
  <c r="D314" i="5"/>
  <c r="D216" i="5"/>
  <c r="D57" i="5"/>
  <c r="D90" i="5"/>
  <c r="D127" i="5"/>
  <c r="D233" i="5"/>
  <c r="E482" i="5"/>
  <c r="D75" i="5"/>
  <c r="D249" i="5"/>
  <c r="D237" i="5"/>
  <c r="D424" i="5"/>
  <c r="D149" i="5"/>
  <c r="D141" i="5"/>
  <c r="E507" i="5"/>
  <c r="D373" i="5"/>
  <c r="D350" i="5"/>
  <c r="E458" i="5"/>
  <c r="E493" i="5"/>
  <c r="T17" i="5" s="1"/>
  <c r="E372" i="5"/>
  <c r="D100" i="5"/>
  <c r="D430" i="5"/>
  <c r="D265" i="5"/>
  <c r="D239" i="5"/>
  <c r="D422" i="5"/>
  <c r="D336" i="5"/>
  <c r="D202" i="5"/>
  <c r="D318" i="5"/>
  <c r="E236" i="5"/>
  <c r="E264" i="5"/>
  <c r="E339" i="5"/>
  <c r="D528" i="5"/>
  <c r="E484" i="5"/>
  <c r="D479" i="5"/>
  <c r="D71" i="5"/>
  <c r="D157" i="5"/>
  <c r="D97" i="5"/>
  <c r="D159" i="5"/>
  <c r="E203" i="5"/>
  <c r="D253" i="5"/>
  <c r="D309" i="5"/>
  <c r="E323" i="5"/>
  <c r="E146" i="5"/>
  <c r="D503" i="5"/>
  <c r="D483" i="5"/>
  <c r="D540" i="5"/>
  <c r="D456" i="5"/>
  <c r="D283" i="5"/>
  <c r="D281" i="5"/>
  <c r="D74" i="5"/>
  <c r="D119" i="5"/>
  <c r="D209" i="5"/>
  <c r="D295" i="5"/>
  <c r="D20" i="5"/>
  <c r="D256" i="5"/>
  <c r="D230" i="5"/>
  <c r="E294" i="5"/>
  <c r="D368" i="5"/>
  <c r="D101" i="5"/>
  <c r="D147" i="5"/>
  <c r="D197" i="5"/>
  <c r="D341" i="5"/>
  <c r="D378" i="5"/>
  <c r="D364" i="5"/>
  <c r="D428" i="5"/>
  <c r="E68" i="5"/>
  <c r="D474" i="5"/>
  <c r="D511" i="5"/>
  <c r="E457" i="5"/>
  <c r="E538" i="5"/>
  <c r="E504" i="5"/>
  <c r="E366" i="5"/>
  <c r="E379" i="5"/>
  <c r="D22" i="5"/>
  <c r="D130" i="5"/>
  <c r="D334" i="5"/>
  <c r="E343" i="5"/>
  <c r="D210" i="5"/>
  <c r="D102" i="5"/>
  <c r="D13" i="5"/>
  <c r="D533" i="5"/>
  <c r="E234" i="5"/>
  <c r="E338" i="5"/>
  <c r="D155" i="5"/>
  <c r="E375" i="5"/>
  <c r="D425" i="5"/>
  <c r="D131" i="5"/>
  <c r="E508" i="5"/>
  <c r="D286" i="5"/>
  <c r="E62" i="5"/>
  <c r="E75" i="5"/>
  <c r="E149" i="5"/>
  <c r="D204" i="5"/>
  <c r="E121" i="5"/>
  <c r="E267" i="5"/>
  <c r="E311" i="5"/>
  <c r="D351" i="5"/>
  <c r="E113" i="5"/>
  <c r="E201" i="5"/>
  <c r="E208" i="5"/>
  <c r="E424" i="5"/>
  <c r="E284" i="5"/>
  <c r="E21" i="5"/>
  <c r="E153" i="5"/>
  <c r="E322" i="5"/>
  <c r="E254" i="5"/>
  <c r="E165" i="5"/>
  <c r="T7" i="5" s="1"/>
  <c r="D417" i="5"/>
  <c r="E535" i="5"/>
  <c r="E94" i="5"/>
  <c r="D231" i="5"/>
  <c r="E291" i="5"/>
  <c r="E11" i="5"/>
  <c r="E92" i="5"/>
  <c r="E427" i="5"/>
  <c r="E129" i="5"/>
  <c r="E277" i="5"/>
  <c r="E360" i="5"/>
  <c r="N14" i="5" s="1"/>
  <c r="E485" i="5"/>
  <c r="D312" i="5"/>
  <c r="D148" i="5"/>
  <c r="E156" i="5"/>
  <c r="D292" i="5"/>
  <c r="E426" i="5"/>
  <c r="D29" i="5"/>
  <c r="D108" i="5"/>
  <c r="D223" i="5"/>
  <c r="D229" i="5"/>
  <c r="D67" i="5"/>
  <c r="E539" i="5"/>
  <c r="E487" i="5"/>
  <c r="D458" i="5"/>
  <c r="E512" i="5"/>
  <c r="D537" i="5"/>
  <c r="B24" i="8"/>
  <c r="B25" i="8" s="1"/>
  <c r="B26" i="8" s="1"/>
  <c r="E70" i="5"/>
  <c r="E126" i="5"/>
  <c r="D285" i="5"/>
  <c r="E235" i="5"/>
  <c r="E293" i="5"/>
  <c r="D429" i="5"/>
  <c r="D164" i="5"/>
  <c r="E317" i="5"/>
  <c r="E453" i="5"/>
  <c r="E515" i="5"/>
  <c r="D261" i="5"/>
  <c r="E342" i="5"/>
  <c r="E99" i="5"/>
  <c r="E266" i="5"/>
  <c r="D263" i="5"/>
  <c r="D418" i="5"/>
  <c r="E206" i="5"/>
  <c r="D344" i="5"/>
  <c r="D374" i="5"/>
  <c r="D346" i="5"/>
  <c r="D198" i="5"/>
  <c r="D507" i="5"/>
  <c r="D482" i="5"/>
  <c r="E534" i="5"/>
  <c r="E503" i="5"/>
  <c r="E474" i="5"/>
  <c r="D66" i="5"/>
  <c r="E119" i="5"/>
  <c r="D98" i="5"/>
  <c r="E202" i="5"/>
  <c r="E314" i="5"/>
  <c r="D232" i="5"/>
  <c r="E349" i="5"/>
  <c r="E422" i="5"/>
  <c r="D377" i="5"/>
  <c r="D531" i="5"/>
  <c r="E510" i="5"/>
  <c r="D477" i="5"/>
  <c r="D534" i="5"/>
  <c r="D501" i="5"/>
  <c r="D18" i="5"/>
  <c r="E101" i="5"/>
  <c r="D123" i="5"/>
  <c r="E239" i="5"/>
  <c r="D321" i="5"/>
  <c r="D115" i="5"/>
  <c r="D449" i="5"/>
  <c r="E449" i="5"/>
  <c r="E478" i="5"/>
  <c r="E536" i="5"/>
  <c r="E455" i="5"/>
  <c r="D510" i="5"/>
  <c r="E15" i="5"/>
  <c r="E61" i="5"/>
  <c r="E159" i="5"/>
  <c r="D542" i="5"/>
  <c r="D146" i="5"/>
  <c r="D421" i="5"/>
  <c r="D207" i="5"/>
  <c r="D338" i="5"/>
  <c r="D322" i="5"/>
  <c r="E341" i="5"/>
  <c r="E211" i="5"/>
  <c r="D93" i="5"/>
  <c r="D95" i="5"/>
  <c r="E437" i="5"/>
  <c r="T15" i="5" s="1"/>
  <c r="E279" i="5"/>
  <c r="D9" i="5"/>
  <c r="D323" i="5"/>
  <c r="D301" i="5"/>
  <c r="D248" i="5"/>
  <c r="E272" i="5"/>
  <c r="Q10" i="5" s="1"/>
  <c r="D11" i="5"/>
  <c r="E336" i="5"/>
  <c r="D343" i="5"/>
  <c r="E114" i="5"/>
  <c r="E28" i="5"/>
  <c r="Q3" i="5" s="1"/>
  <c r="E140" i="5"/>
  <c r="E192" i="5"/>
  <c r="N8" i="5" s="1"/>
  <c r="E220" i="5"/>
  <c r="N9" i="5" s="1"/>
  <c r="E356" i="5"/>
  <c r="Q13" i="5" s="1"/>
  <c r="D121" i="5"/>
  <c r="E197" i="5"/>
  <c r="E71" i="5"/>
  <c r="D153" i="5"/>
  <c r="E230" i="5"/>
  <c r="E74" i="5"/>
  <c r="E147" i="5"/>
  <c r="E157" i="5"/>
  <c r="D208" i="5"/>
  <c r="E309" i="5"/>
  <c r="D366" i="5"/>
  <c r="D284" i="5"/>
  <c r="D369" i="5"/>
  <c r="E333" i="5"/>
  <c r="E329" i="5"/>
  <c r="T12" i="5" s="1"/>
  <c r="E216" i="5"/>
  <c r="Q8" i="5" s="1"/>
  <c r="E248" i="5"/>
  <c r="N10" i="5" s="1"/>
  <c r="E280" i="5"/>
  <c r="E525" i="5"/>
  <c r="D62" i="5"/>
  <c r="E5" i="5"/>
  <c r="D234" i="5"/>
  <c r="D92" i="5"/>
  <c r="E118" i="5"/>
  <c r="D311" i="5"/>
  <c r="E143" i="5"/>
  <c r="E84" i="5"/>
  <c r="N5" i="5" s="1"/>
  <c r="E56" i="5"/>
  <c r="N4" i="5" s="1"/>
  <c r="E304" i="5"/>
  <c r="N12" i="5" s="1"/>
  <c r="E413" i="5"/>
  <c r="E100" i="5"/>
  <c r="D69" i="5"/>
  <c r="D203" i="5"/>
  <c r="D64" i="5"/>
  <c r="D316" i="5"/>
  <c r="E244" i="5"/>
  <c r="D293" i="5"/>
  <c r="E20" i="5"/>
  <c r="E452" i="5"/>
  <c r="E318" i="5"/>
  <c r="D17" i="5"/>
  <c r="D238" i="5"/>
  <c r="D337" i="5"/>
  <c r="E295" i="5"/>
  <c r="D235" i="5"/>
  <c r="D372" i="5"/>
  <c r="D315" i="5"/>
  <c r="D228" i="5"/>
  <c r="D236" i="5"/>
  <c r="D266" i="5"/>
  <c r="D416" i="5"/>
  <c r="D385" i="5"/>
  <c r="D340" i="5"/>
  <c r="E273" i="5"/>
  <c r="T10" i="5" s="1"/>
  <c r="D156" i="5"/>
  <c r="E127" i="5"/>
  <c r="E540" i="5"/>
  <c r="E483" i="5"/>
  <c r="D423" i="5"/>
  <c r="D124" i="5"/>
  <c r="D262" i="5"/>
  <c r="E378" i="5"/>
  <c r="E221" i="5"/>
  <c r="E193" i="5"/>
  <c r="E456" i="5"/>
  <c r="D96" i="5"/>
  <c r="E158" i="5"/>
  <c r="E260" i="5"/>
  <c r="E209" i="5"/>
  <c r="E228" i="5"/>
  <c r="D260" i="5"/>
  <c r="D289" i="5"/>
  <c r="E428" i="5"/>
  <c r="D339" i="5"/>
  <c r="D224" i="5"/>
  <c r="E348" i="5"/>
  <c r="E7" i="5"/>
  <c r="E319" i="5"/>
  <c r="E86" i="5"/>
  <c r="D12" i="5"/>
  <c r="D73" i="5"/>
  <c r="D158" i="5"/>
  <c r="D259" i="5"/>
  <c r="D68" i="5"/>
  <c r="D200" i="5"/>
  <c r="E232" i="5"/>
  <c r="D264" i="5"/>
  <c r="D150" i="5"/>
  <c r="D294" i="5"/>
  <c r="D154" i="5"/>
  <c r="E265" i="5"/>
  <c r="E377" i="5"/>
  <c r="D310" i="5"/>
  <c r="D376" i="5"/>
  <c r="D120" i="5"/>
  <c r="D151" i="5"/>
  <c r="E237" i="5"/>
  <c r="D258" i="5"/>
  <c r="D335" i="5"/>
  <c r="D426" i="5"/>
  <c r="D276" i="5"/>
  <c r="E88" i="5"/>
  <c r="D56" i="5"/>
  <c r="E252" i="5"/>
  <c r="E60" i="5"/>
  <c r="E415" i="5"/>
  <c r="E362" i="5"/>
  <c r="D367" i="5"/>
  <c r="D305" i="5"/>
  <c r="E520" i="5"/>
  <c r="Q18" i="5" s="1"/>
  <c r="D487" i="5"/>
  <c r="E511" i="5"/>
  <c r="D539" i="5"/>
  <c r="E262" i="5"/>
  <c r="E93" i="5"/>
  <c r="E289" i="5"/>
  <c r="D6" i="5"/>
  <c r="E58" i="5"/>
  <c r="E363" i="5"/>
  <c r="D5" i="5"/>
  <c r="D220" i="5"/>
  <c r="E12" i="5"/>
  <c r="D28" i="5"/>
  <c r="D70" i="5"/>
  <c r="D99" i="5"/>
  <c r="E18" i="5"/>
  <c r="D65" i="5"/>
  <c r="E210" i="5"/>
  <c r="D320" i="5"/>
  <c r="D419" i="5"/>
  <c r="E238" i="5"/>
  <c r="E321" i="5"/>
  <c r="D375" i="5"/>
  <c r="E150" i="5"/>
  <c r="D267" i="5"/>
  <c r="D291" i="5"/>
  <c r="D317" i="5"/>
  <c r="D342" i="5"/>
  <c r="E376" i="5"/>
  <c r="D87" i="5"/>
  <c r="D59" i="5"/>
  <c r="D384" i="5"/>
  <c r="D357" i="5"/>
  <c r="E8" i="5"/>
  <c r="E222" i="5"/>
  <c r="E300" i="5"/>
  <c r="Q11" i="5" s="1"/>
  <c r="E306" i="5"/>
  <c r="D84" i="5"/>
  <c r="D192" i="5"/>
  <c r="D304" i="5"/>
  <c r="D413" i="5"/>
  <c r="D360" i="5"/>
  <c r="D117" i="5"/>
  <c r="E64" i="5"/>
  <c r="D112" i="5"/>
  <c r="D278" i="5"/>
  <c r="D194" i="5"/>
  <c r="D414" i="5"/>
  <c r="D444" i="5"/>
  <c r="D455" i="5"/>
  <c r="D512" i="5"/>
  <c r="D453" i="5"/>
  <c r="D505" i="5"/>
  <c r="E492" i="5"/>
  <c r="Q17" i="5" s="1"/>
  <c r="D536" i="5"/>
  <c r="D476" i="5"/>
  <c r="D543" i="5"/>
  <c r="E122" i="5"/>
  <c r="E316" i="5"/>
  <c r="E207" i="5"/>
  <c r="D308" i="5"/>
  <c r="D332" i="5"/>
  <c r="D142" i="5"/>
  <c r="E144" i="5"/>
  <c r="E250" i="5"/>
  <c r="E412" i="5"/>
  <c r="N15" i="5" s="1"/>
  <c r="D280" i="5"/>
  <c r="D356" i="5"/>
  <c r="E120" i="5"/>
  <c r="E498" i="5"/>
  <c r="D4" i="5"/>
  <c r="D126" i="5"/>
  <c r="D21" i="5"/>
  <c r="E66" i="5"/>
  <c r="E69" i="5"/>
  <c r="D91" i="5"/>
  <c r="E123" i="5"/>
  <c r="E155" i="5"/>
  <c r="E335" i="5"/>
  <c r="D152" i="5"/>
  <c r="D201" i="5"/>
  <c r="E98" i="5"/>
  <c r="E263" i="5"/>
  <c r="E285" i="5"/>
  <c r="D379" i="5"/>
  <c r="D370" i="5"/>
  <c r="E344" i="5"/>
  <c r="E421" i="5"/>
  <c r="E429" i="5"/>
  <c r="D251" i="5"/>
  <c r="D195" i="5"/>
  <c r="D431" i="5"/>
  <c r="D361" i="5"/>
  <c r="E81" i="5"/>
  <c r="T4" i="5" s="1"/>
  <c r="E137" i="5"/>
  <c r="T6" i="5" s="1"/>
  <c r="E116" i="5"/>
  <c r="E436" i="5"/>
  <c r="Q15" i="5" s="1"/>
  <c r="D113" i="5"/>
  <c r="D272" i="5"/>
  <c r="D140" i="5"/>
  <c r="D328" i="5"/>
  <c r="E95" i="5"/>
  <c r="D85" i="5"/>
  <c r="D245" i="5"/>
  <c r="D136" i="5"/>
  <c r="D19" i="5"/>
  <c r="D94" i="5"/>
  <c r="D478" i="5"/>
  <c r="D109" i="5"/>
  <c r="D307" i="5"/>
  <c r="D217" i="5"/>
  <c r="D257" i="5"/>
  <c r="D196" i="5"/>
  <c r="D365" i="5"/>
  <c r="D89" i="5"/>
  <c r="D290" i="5"/>
  <c r="E369" i="5"/>
  <c r="E17" i="5"/>
  <c r="D145" i="5"/>
  <c r="D282" i="5"/>
  <c r="E290" i="5"/>
  <c r="D345" i="5"/>
  <c r="D199" i="5"/>
  <c r="E337" i="5"/>
  <c r="E420" i="5"/>
  <c r="D128" i="5"/>
  <c r="E199" i="5"/>
  <c r="E315" i="5"/>
  <c r="E416" i="5"/>
  <c r="D165" i="5"/>
  <c r="B85" i="5"/>
  <c r="B305" i="5"/>
  <c r="B5" i="5"/>
  <c r="B221" i="5"/>
  <c r="B525" i="5"/>
  <c r="E80" i="5"/>
  <c r="Q4" i="5" s="1"/>
  <c r="E440" i="5"/>
  <c r="N16" i="5" s="1"/>
  <c r="E464" i="5"/>
  <c r="Q16" i="5" s="1"/>
  <c r="D514" i="5"/>
  <c r="E469" i="5"/>
  <c r="D481" i="5"/>
  <c r="E513" i="5"/>
  <c r="E468" i="5"/>
  <c r="N17" i="5" s="1"/>
  <c r="E529" i="5"/>
  <c r="H5" i="8"/>
  <c r="B40" i="1"/>
  <c r="BC36" i="9"/>
  <c r="B113" i="5"/>
  <c r="J4" i="5"/>
  <c r="B249" i="5"/>
  <c r="B333" i="5"/>
  <c r="E496" i="5"/>
  <c r="N18" i="5" s="1"/>
  <c r="D443" i="5"/>
  <c r="E548" i="5"/>
  <c r="Q19" i="5" s="1"/>
  <c r="E18" i="9"/>
  <c r="E3" i="9"/>
  <c r="E15" i="9"/>
  <c r="D441" i="5"/>
  <c r="E451" i="5"/>
  <c r="D465" i="5"/>
  <c r="E501" i="5"/>
  <c r="D526" i="5"/>
  <c r="E450" i="5"/>
  <c r="D451" i="5"/>
  <c r="E480" i="5"/>
  <c r="E527" i="5"/>
  <c r="D549" i="5"/>
  <c r="D485" i="5"/>
  <c r="D500" i="5"/>
  <c r="E528" i="5"/>
  <c r="E549" i="5"/>
  <c r="T19" i="5" s="1"/>
  <c r="E465" i="5"/>
  <c r="T16" i="5" s="1"/>
  <c r="D497" i="5"/>
  <c r="E526" i="5"/>
  <c r="D535" i="5"/>
  <c r="D122" i="5"/>
  <c r="E17" i="9"/>
  <c r="E442" i="5"/>
  <c r="D445" i="5"/>
  <c r="E471" i="5"/>
  <c r="D493" i="5"/>
  <c r="D504" i="5"/>
  <c r="D472" i="5"/>
  <c r="D530" i="5"/>
  <c r="D442" i="5"/>
  <c r="D470" i="5"/>
  <c r="E521" i="5"/>
  <c r="T18" i="5" s="1"/>
  <c r="D502" i="5"/>
  <c r="E509" i="5"/>
  <c r="D521" i="5"/>
  <c r="E530" i="5"/>
  <c r="D538" i="5"/>
  <c r="D454" i="5"/>
  <c r="D484" i="5"/>
  <c r="E506" i="5"/>
  <c r="D457" i="5"/>
  <c r="E477" i="5"/>
  <c r="E500" i="5"/>
  <c r="D447" i="5"/>
  <c r="D508" i="5"/>
  <c r="E532" i="5"/>
  <c r="E445" i="5"/>
  <c r="E475" i="5"/>
  <c r="D509" i="5"/>
  <c r="D446" i="5"/>
  <c r="D473" i="5"/>
  <c r="D506" i="5"/>
  <c r="D524" i="5"/>
  <c r="E473" i="5"/>
  <c r="D532" i="5"/>
  <c r="D471" i="5"/>
  <c r="D486" i="5"/>
  <c r="E9" i="9"/>
  <c r="E13" i="9"/>
  <c r="E20" i="9"/>
  <c r="E22" i="9"/>
  <c r="E21" i="9"/>
  <c r="E14" i="9"/>
  <c r="E11" i="9"/>
  <c r="E12" i="9"/>
  <c r="E7" i="9"/>
  <c r="E4" i="9"/>
  <c r="E19" i="9"/>
  <c r="E459" i="5"/>
  <c r="E479" i="5"/>
  <c r="D499" i="5"/>
  <c r="E537" i="5"/>
  <c r="E448" i="5"/>
  <c r="D475" i="5"/>
  <c r="D496" i="5"/>
  <c r="D527" i="5"/>
  <c r="D450" i="5"/>
  <c r="D480" i="5"/>
  <c r="E8" i="9"/>
  <c r="E16" i="9"/>
  <c r="D14" i="5"/>
  <c r="N7" i="5" l="1"/>
  <c r="E37" i="9"/>
  <c r="E42" i="9"/>
  <c r="B663" i="5"/>
  <c r="B743" i="5"/>
  <c r="B391" i="5"/>
  <c r="B583" i="5"/>
  <c r="B35" i="5"/>
  <c r="B171" i="5"/>
  <c r="B86" i="5"/>
  <c r="B634" i="5"/>
  <c r="B686" i="5"/>
  <c r="B714" i="5"/>
  <c r="B554" i="5"/>
  <c r="B794" i="5"/>
  <c r="B766" i="5"/>
  <c r="B606" i="5"/>
  <c r="B278" i="5"/>
  <c r="B442" i="5"/>
  <c r="E41" i="9"/>
  <c r="B362" i="5"/>
  <c r="B498" i="5"/>
  <c r="B470" i="5"/>
  <c r="B6" i="5"/>
  <c r="B222" i="5"/>
  <c r="B142" i="5"/>
  <c r="B114" i="5"/>
  <c r="B194" i="5"/>
  <c r="B250" i="5"/>
  <c r="B306" i="5"/>
  <c r="B414" i="5"/>
  <c r="B526" i="5"/>
  <c r="B334" i="5"/>
  <c r="J5" i="5"/>
  <c r="B58" i="5"/>
  <c r="BC26" i="9"/>
  <c r="B31" i="1"/>
  <c r="I31" i="1" s="1"/>
  <c r="B30" i="1"/>
  <c r="I30" i="1" s="1"/>
  <c r="BC25" i="9"/>
  <c r="B29" i="1"/>
  <c r="BC24" i="9"/>
  <c r="E43" i="9"/>
  <c r="E35" i="9"/>
  <c r="E40" i="9"/>
  <c r="E44" i="9"/>
  <c r="E36" i="9"/>
  <c r="H6" i="8"/>
  <c r="B41" i="1"/>
  <c r="BC37" i="9"/>
  <c r="E38" i="9"/>
  <c r="E39" i="9"/>
  <c r="B499" i="5"/>
  <c r="B307" i="5"/>
  <c r="B195" i="5"/>
  <c r="B143" i="5"/>
  <c r="B115" i="5"/>
  <c r="B87" i="5"/>
  <c r="B664" i="5" l="1"/>
  <c r="B744" i="5"/>
  <c r="B392" i="5"/>
  <c r="B584" i="5"/>
  <c r="J6" i="5"/>
  <c r="B471" i="5"/>
  <c r="B172" i="5"/>
  <c r="B279" i="5"/>
  <c r="B223" i="5"/>
  <c r="B36" i="5"/>
  <c r="B363" i="5"/>
  <c r="B415" i="5"/>
  <c r="B443" i="5"/>
  <c r="B251" i="5"/>
  <c r="B7" i="5"/>
  <c r="B715" i="5"/>
  <c r="B555" i="5"/>
  <c r="B767" i="5"/>
  <c r="B607" i="5"/>
  <c r="B795" i="5"/>
  <c r="B635" i="5"/>
  <c r="B687" i="5"/>
  <c r="B335" i="5"/>
  <c r="B527" i="5"/>
  <c r="B59" i="5"/>
  <c r="H7" i="8"/>
  <c r="B42" i="1"/>
  <c r="BC38" i="9"/>
  <c r="B665" i="5" l="1"/>
  <c r="B745" i="5"/>
  <c r="B393" i="5"/>
  <c r="B585" i="5"/>
  <c r="B636" i="5"/>
  <c r="B280" i="5"/>
  <c r="B116" i="5"/>
  <c r="B528" i="5"/>
  <c r="B768" i="5"/>
  <c r="B716" i="5"/>
  <c r="B796" i="5"/>
  <c r="B8" i="5"/>
  <c r="B416" i="5"/>
  <c r="B444" i="5"/>
  <c r="B144" i="5"/>
  <c r="B196" i="5"/>
  <c r="B308" i="5"/>
  <c r="J7" i="5"/>
  <c r="B253" i="5" s="1"/>
  <c r="B224" i="5"/>
  <c r="B556" i="5"/>
  <c r="B173" i="5"/>
  <c r="B88" i="5"/>
  <c r="B500" i="5"/>
  <c r="B472" i="5"/>
  <c r="B608" i="5"/>
  <c r="B252" i="5"/>
  <c r="B364" i="5"/>
  <c r="B60" i="5"/>
  <c r="B336" i="5"/>
  <c r="B688" i="5"/>
  <c r="B37" i="5"/>
  <c r="B38" i="5"/>
  <c r="B174" i="5"/>
  <c r="H8" i="8"/>
  <c r="B43" i="1"/>
  <c r="BC39" i="9"/>
  <c r="B417" i="5"/>
  <c r="B197" i="5"/>
  <c r="B609" i="5" l="1"/>
  <c r="B637" i="5"/>
  <c r="B797" i="5"/>
  <c r="B529" i="5"/>
  <c r="B337" i="5"/>
  <c r="B89" i="5"/>
  <c r="B666" i="5"/>
  <c r="B746" i="5"/>
  <c r="B769" i="5"/>
  <c r="B473" i="5"/>
  <c r="B9" i="5"/>
  <c r="B689" i="5"/>
  <c r="B445" i="5"/>
  <c r="B117" i="5"/>
  <c r="B365" i="5"/>
  <c r="B281" i="5"/>
  <c r="B61" i="5"/>
  <c r="B394" i="5"/>
  <c r="B586" i="5"/>
  <c r="B501" i="5"/>
  <c r="B225" i="5"/>
  <c r="B557" i="5"/>
  <c r="B145" i="5"/>
  <c r="B309" i="5"/>
  <c r="B717" i="5"/>
  <c r="J8" i="5"/>
  <c r="B747" i="5" s="1"/>
  <c r="B690" i="5"/>
  <c r="H9" i="8"/>
  <c r="B44" i="1"/>
  <c r="BC40" i="9"/>
  <c r="B175" i="5" l="1"/>
  <c r="B118" i="5"/>
  <c r="B366" i="5"/>
  <c r="B446" i="5"/>
  <c r="B282" i="5"/>
  <c r="B798" i="5"/>
  <c r="B667" i="5"/>
  <c r="B502" i="5"/>
  <c r="B254" i="5"/>
  <c r="B338" i="5"/>
  <c r="B39" i="5"/>
  <c r="B638" i="5"/>
  <c r="B418" i="5"/>
  <c r="B474" i="5"/>
  <c r="B770" i="5"/>
  <c r="B90" i="5"/>
  <c r="B395" i="5"/>
  <c r="B587" i="5"/>
  <c r="B62" i="5"/>
  <c r="B610" i="5"/>
  <c r="B226" i="5"/>
  <c r="B530" i="5"/>
  <c r="J9" i="5"/>
  <c r="B10" i="5"/>
  <c r="B310" i="5"/>
  <c r="B558" i="5"/>
  <c r="B198" i="5"/>
  <c r="B146" i="5"/>
  <c r="B718" i="5"/>
  <c r="H10" i="8"/>
  <c r="B45" i="1"/>
  <c r="BC41" i="9"/>
  <c r="B311" i="5"/>
  <c r="B799" i="5" l="1"/>
  <c r="B748" i="5"/>
  <c r="B283" i="5"/>
  <c r="B419" i="5"/>
  <c r="B475" i="5"/>
  <c r="B91" i="5"/>
  <c r="J10" i="5"/>
  <c r="B397" i="5" s="1"/>
  <c r="B639" i="5"/>
  <c r="B199" i="5"/>
  <c r="B559" i="5"/>
  <c r="B668" i="5"/>
  <c r="B367" i="5"/>
  <c r="B176" i="5"/>
  <c r="B119" i="5"/>
  <c r="B40" i="5"/>
  <c r="B691" i="5"/>
  <c r="B531" i="5"/>
  <c r="B227" i="5"/>
  <c r="B771" i="5"/>
  <c r="B11" i="5"/>
  <c r="B611" i="5"/>
  <c r="B255" i="5"/>
  <c r="B147" i="5"/>
  <c r="B396" i="5"/>
  <c r="B588" i="5"/>
  <c r="B63" i="5"/>
  <c r="B339" i="5"/>
  <c r="B503" i="5"/>
  <c r="B447" i="5"/>
  <c r="B719" i="5"/>
  <c r="B177" i="5"/>
  <c r="B772" i="5"/>
  <c r="H11" i="8"/>
  <c r="B46" i="1"/>
  <c r="BC42" i="9"/>
  <c r="B368" i="5"/>
  <c r="B532" i="5"/>
  <c r="B228" i="5"/>
  <c r="B256" i="5"/>
  <c r="J11" i="5"/>
  <c r="B612" i="5" l="1"/>
  <c r="B284" i="5"/>
  <c r="B41" i="5"/>
  <c r="B504" i="5"/>
  <c r="B64" i="5"/>
  <c r="B120" i="5"/>
  <c r="B670" i="5"/>
  <c r="B750" i="5"/>
  <c r="B669" i="5"/>
  <c r="B749" i="5"/>
  <c r="B448" i="5"/>
  <c r="B720" i="5"/>
  <c r="B92" i="5"/>
  <c r="B692" i="5"/>
  <c r="B148" i="5"/>
  <c r="B589" i="5"/>
  <c r="B420" i="5"/>
  <c r="B12" i="5"/>
  <c r="B640" i="5"/>
  <c r="B200" i="5"/>
  <c r="B340" i="5"/>
  <c r="B800" i="5"/>
  <c r="B476" i="5"/>
  <c r="B312" i="5"/>
  <c r="B560" i="5"/>
  <c r="B398" i="5"/>
  <c r="B590" i="5"/>
  <c r="B42" i="5"/>
  <c r="B178" i="5"/>
  <c r="B801" i="5"/>
  <c r="B641" i="5"/>
  <c r="B613" i="5"/>
  <c r="B693" i="5"/>
  <c r="B773" i="5"/>
  <c r="B721" i="5"/>
  <c r="B561" i="5"/>
  <c r="H12" i="8"/>
  <c r="H13" i="8" s="1"/>
  <c r="H14" i="8" s="1"/>
  <c r="B47" i="1"/>
  <c r="BC43" i="9"/>
  <c r="B449" i="5"/>
  <c r="B533" i="5"/>
  <c r="B201" i="5"/>
  <c r="B421" i="5"/>
  <c r="B505" i="5"/>
  <c r="B285" i="5"/>
  <c r="B121" i="5"/>
  <c r="B477" i="5"/>
  <c r="B313" i="5"/>
  <c r="B341" i="5"/>
  <c r="B229" i="5"/>
  <c r="B65" i="5"/>
  <c r="B369" i="5"/>
  <c r="B257" i="5"/>
  <c r="B149" i="5"/>
  <c r="B13" i="5"/>
  <c r="B93" i="5"/>
  <c r="J12" i="5"/>
  <c r="B671" i="5" l="1"/>
  <c r="B751" i="5"/>
  <c r="B399" i="5"/>
  <c r="B591" i="5"/>
  <c r="B43" i="5"/>
  <c r="B179" i="5"/>
  <c r="B694" i="5"/>
  <c r="B642" i="5"/>
  <c r="B722" i="5"/>
  <c r="B562" i="5"/>
  <c r="B774" i="5"/>
  <c r="B614" i="5"/>
  <c r="B802" i="5"/>
  <c r="B50" i="1"/>
  <c r="I50" i="1" s="1"/>
  <c r="BC46" i="9"/>
  <c r="B49" i="1"/>
  <c r="I49" i="1" s="1"/>
  <c r="BC45" i="9"/>
  <c r="B48" i="1"/>
  <c r="BC44" i="9"/>
  <c r="B150" i="5"/>
  <c r="J13" i="5"/>
  <c r="B534" i="5"/>
  <c r="B450" i="5"/>
  <c r="B314" i="5"/>
  <c r="B422" i="5"/>
  <c r="B122" i="5"/>
  <c r="B66" i="5"/>
  <c r="B286" i="5"/>
  <c r="B202" i="5"/>
  <c r="B342" i="5"/>
  <c r="B506" i="5"/>
  <c r="B370" i="5"/>
  <c r="B94" i="5"/>
  <c r="B14" i="5"/>
  <c r="B258" i="5"/>
  <c r="B478" i="5"/>
  <c r="B230" i="5"/>
  <c r="B672" i="5" l="1"/>
  <c r="B752" i="5"/>
  <c r="B400" i="5"/>
  <c r="B592" i="5"/>
  <c r="B44" i="5"/>
  <c r="B180" i="5"/>
  <c r="B723" i="5"/>
  <c r="B563" i="5"/>
  <c r="B775" i="5"/>
  <c r="B615" i="5"/>
  <c r="B695" i="5"/>
  <c r="B803" i="5"/>
  <c r="B643" i="5"/>
  <c r="B423" i="5"/>
  <c r="B287" i="5"/>
  <c r="B371" i="5"/>
  <c r="B67" i="5"/>
  <c r="B151" i="5"/>
  <c r="B231" i="5"/>
  <c r="B15" i="5"/>
  <c r="B95" i="5"/>
  <c r="B507" i="5"/>
  <c r="B259" i="5"/>
  <c r="B535" i="5"/>
  <c r="B479" i="5"/>
  <c r="B203" i="5"/>
  <c r="B343" i="5"/>
  <c r="B123" i="5"/>
  <c r="B451" i="5"/>
  <c r="J14" i="5"/>
  <c r="B315" i="5"/>
  <c r="B673" i="5" l="1"/>
  <c r="B753" i="5"/>
  <c r="B401" i="5"/>
  <c r="B593" i="5"/>
  <c r="B45" i="5"/>
  <c r="B181" i="5"/>
  <c r="B776" i="5"/>
  <c r="B616" i="5"/>
  <c r="B724" i="5"/>
  <c r="B804" i="5"/>
  <c r="B644" i="5"/>
  <c r="B564" i="5"/>
  <c r="B696" i="5"/>
  <c r="B372" i="5"/>
  <c r="B232" i="5"/>
  <c r="B204" i="5"/>
  <c r="B16" i="5"/>
  <c r="B260" i="5"/>
  <c r="J15" i="5"/>
  <c r="B152" i="5"/>
  <c r="B452" i="5"/>
  <c r="B344" i="5"/>
  <c r="B96" i="5"/>
  <c r="B508" i="5"/>
  <c r="B288" i="5"/>
  <c r="B480" i="5"/>
  <c r="B424" i="5"/>
  <c r="B536" i="5"/>
  <c r="B316" i="5"/>
  <c r="B68" i="5"/>
  <c r="B124" i="5"/>
  <c r="B674" i="5" l="1"/>
  <c r="B754" i="5"/>
  <c r="B402" i="5"/>
  <c r="B594" i="5"/>
  <c r="B46" i="5"/>
  <c r="B182" i="5"/>
  <c r="B777" i="5"/>
  <c r="B805" i="5"/>
  <c r="B645" i="5"/>
  <c r="B697" i="5"/>
  <c r="B617" i="5"/>
  <c r="B725" i="5"/>
  <c r="B565" i="5"/>
  <c r="B453" i="5"/>
  <c r="B317" i="5"/>
  <c r="B509" i="5"/>
  <c r="B425" i="5"/>
  <c r="B153" i="5"/>
  <c r="B69" i="5"/>
  <c r="B481" i="5"/>
  <c r="B205" i="5"/>
  <c r="B233" i="5"/>
  <c r="B537" i="5"/>
  <c r="B261" i="5"/>
  <c r="B289" i="5"/>
  <c r="B97" i="5"/>
  <c r="B345" i="5"/>
  <c r="B17" i="5"/>
  <c r="B373" i="5"/>
  <c r="B125" i="5"/>
  <c r="J16" i="5"/>
  <c r="B675" i="5" l="1"/>
  <c r="B755" i="5"/>
  <c r="B403" i="5"/>
  <c r="B595" i="5"/>
  <c r="B47" i="5"/>
  <c r="B183" i="5"/>
  <c r="B698" i="5"/>
  <c r="B726" i="5"/>
  <c r="B566" i="5"/>
  <c r="B646" i="5"/>
  <c r="B806" i="5"/>
  <c r="B778" i="5"/>
  <c r="B618" i="5"/>
  <c r="B374" i="5"/>
  <c r="B318" i="5"/>
  <c r="B70" i="5"/>
  <c r="B206" i="5"/>
  <c r="B290" i="5"/>
  <c r="B346" i="5"/>
  <c r="B234" i="5"/>
  <c r="B154" i="5"/>
  <c r="B510" i="5"/>
  <c r="B538" i="5"/>
  <c r="B454" i="5"/>
  <c r="B482" i="5"/>
  <c r="B262" i="5"/>
  <c r="B98" i="5"/>
  <c r="B18" i="5"/>
  <c r="B426" i="5"/>
  <c r="J17" i="5"/>
  <c r="B126" i="5"/>
  <c r="B676" i="5" l="1"/>
  <c r="B756" i="5"/>
  <c r="B404" i="5"/>
  <c r="B596" i="5"/>
  <c r="B48" i="5"/>
  <c r="B184" i="5"/>
  <c r="B727" i="5"/>
  <c r="B567" i="5"/>
  <c r="B699" i="5"/>
  <c r="B779" i="5"/>
  <c r="B619" i="5"/>
  <c r="B807" i="5"/>
  <c r="B647" i="5"/>
  <c r="B291" i="5"/>
  <c r="B263" i="5"/>
  <c r="B539" i="5"/>
  <c r="B235" i="5"/>
  <c r="B71" i="5"/>
  <c r="B347" i="5"/>
  <c r="B127" i="5"/>
  <c r="B319" i="5"/>
  <c r="B19" i="5"/>
  <c r="B483" i="5"/>
  <c r="B99" i="5"/>
  <c r="B427" i="5"/>
  <c r="B455" i="5"/>
  <c r="B155" i="5"/>
  <c r="B207" i="5"/>
  <c r="B511" i="5"/>
  <c r="B375" i="5"/>
  <c r="J18" i="5"/>
  <c r="B677" i="5" l="1"/>
  <c r="B757" i="5"/>
  <c r="B405" i="5"/>
  <c r="B597" i="5"/>
  <c r="B49" i="5"/>
  <c r="B185" i="5"/>
  <c r="B780" i="5"/>
  <c r="B620" i="5"/>
  <c r="B808" i="5"/>
  <c r="B648" i="5"/>
  <c r="B568" i="5"/>
  <c r="B728" i="5"/>
  <c r="B700" i="5"/>
  <c r="B376" i="5"/>
  <c r="B156" i="5"/>
  <c r="B348" i="5"/>
  <c r="B20" i="5"/>
  <c r="B292" i="5"/>
  <c r="B236" i="5"/>
  <c r="B264" i="5"/>
  <c r="B100" i="5"/>
  <c r="B456" i="5"/>
  <c r="J19" i="5"/>
  <c r="B512" i="5"/>
  <c r="B320" i="5"/>
  <c r="B208" i="5"/>
  <c r="B128" i="5"/>
  <c r="B72" i="5"/>
  <c r="B484" i="5"/>
  <c r="B428" i="5"/>
  <c r="B540" i="5"/>
  <c r="B678" i="5" l="1"/>
  <c r="B758" i="5"/>
  <c r="B406" i="5"/>
  <c r="B598" i="5"/>
  <c r="B50" i="5"/>
  <c r="B186" i="5"/>
  <c r="B809" i="5"/>
  <c r="B649" i="5"/>
  <c r="B781" i="5"/>
  <c r="B701" i="5"/>
  <c r="B621" i="5"/>
  <c r="B729" i="5"/>
  <c r="B569" i="5"/>
  <c r="B457" i="5"/>
  <c r="B541" i="5"/>
  <c r="B209" i="5"/>
  <c r="B101" i="5"/>
  <c r="B429" i="5"/>
  <c r="B513" i="5"/>
  <c r="B237" i="5"/>
  <c r="B73" i="5"/>
  <c r="B265" i="5"/>
  <c r="B157" i="5"/>
  <c r="B485" i="5"/>
  <c r="B321" i="5"/>
  <c r="B349" i="5"/>
  <c r="B129" i="5"/>
  <c r="B21" i="5"/>
  <c r="B293" i="5"/>
  <c r="J20" i="5"/>
  <c r="B377" i="5"/>
  <c r="B679" i="5" l="1"/>
  <c r="B759" i="5"/>
  <c r="B407" i="5"/>
  <c r="B599" i="5"/>
  <c r="B51" i="5"/>
  <c r="B187" i="5"/>
  <c r="B702" i="5"/>
  <c r="B650" i="5"/>
  <c r="B730" i="5"/>
  <c r="B570" i="5"/>
  <c r="B782" i="5"/>
  <c r="B622" i="5"/>
  <c r="B810" i="5"/>
  <c r="B486" i="5"/>
  <c r="B102" i="5"/>
  <c r="B266" i="5"/>
  <c r="B74" i="5"/>
  <c r="B542" i="5"/>
  <c r="B458" i="5"/>
  <c r="B322" i="5"/>
  <c r="B430" i="5"/>
  <c r="B238" i="5"/>
  <c r="B22" i="5"/>
  <c r="B158" i="5"/>
  <c r="B294" i="5"/>
  <c r="B378" i="5"/>
  <c r="B350" i="5"/>
  <c r="B210" i="5"/>
  <c r="B514" i="5"/>
  <c r="B130" i="5"/>
  <c r="J21" i="5"/>
  <c r="B680" i="5" l="1"/>
  <c r="B760" i="5"/>
  <c r="B408" i="5"/>
  <c r="B600" i="5"/>
  <c r="B52" i="5"/>
  <c r="B188" i="5"/>
  <c r="J22" i="5"/>
  <c r="B240" i="5" s="1"/>
  <c r="B731" i="5"/>
  <c r="B571" i="5"/>
  <c r="B783" i="5"/>
  <c r="B623" i="5"/>
  <c r="B703" i="5"/>
  <c r="B811" i="5"/>
  <c r="B651" i="5"/>
  <c r="B431" i="5"/>
  <c r="B295" i="5"/>
  <c r="B379" i="5"/>
  <c r="B459" i="5"/>
  <c r="B543" i="5"/>
  <c r="B239" i="5"/>
  <c r="B211" i="5"/>
  <c r="B103" i="5"/>
  <c r="B351" i="5"/>
  <c r="B131" i="5"/>
  <c r="B267" i="5"/>
  <c r="B75" i="5"/>
  <c r="B323" i="5"/>
  <c r="B515" i="5"/>
  <c r="B487" i="5"/>
  <c r="B159" i="5"/>
  <c r="B23" i="5"/>
  <c r="J23" i="5" l="1"/>
  <c r="B105" i="5" s="1"/>
  <c r="B324" i="5"/>
  <c r="B132" i="5"/>
  <c r="B296" i="5"/>
  <c r="B268" i="5"/>
  <c r="B104" i="5"/>
  <c r="B432" i="5"/>
  <c r="B488" i="5"/>
  <c r="B76" i="5"/>
  <c r="B544" i="5"/>
  <c r="B380" i="5"/>
  <c r="B24" i="5"/>
  <c r="B212" i="5"/>
  <c r="B460" i="5"/>
  <c r="B160" i="5"/>
  <c r="B352" i="5"/>
  <c r="B516" i="5"/>
  <c r="J24" i="5"/>
  <c r="B326" i="5" s="1"/>
  <c r="B573" i="5"/>
  <c r="B572" i="5"/>
  <c r="B784" i="5"/>
  <c r="B624" i="5"/>
  <c r="B812" i="5"/>
  <c r="B652" i="5"/>
  <c r="B732" i="5"/>
  <c r="B704" i="5"/>
  <c r="B298" i="5"/>
  <c r="B433" i="5"/>
  <c r="B25" i="5"/>
  <c r="B545" i="5"/>
  <c r="AE46" i="9"/>
  <c r="AI46" i="9"/>
  <c r="AJ46" i="9"/>
  <c r="AM46" i="9"/>
  <c r="AH46" i="9"/>
  <c r="AO46" i="9"/>
  <c r="AG46" i="9"/>
  <c r="AK46" i="9"/>
  <c r="AD46" i="9"/>
  <c r="AL46" i="9"/>
  <c r="AN46" i="9"/>
  <c r="AF46" i="9"/>
  <c r="B461" i="5" l="1"/>
  <c r="B161" i="5"/>
  <c r="B733" i="5"/>
  <c r="B381" i="5"/>
  <c r="B241" i="5"/>
  <c r="B785" i="5"/>
  <c r="B269" i="5"/>
  <c r="B518" i="5"/>
  <c r="B705" i="5"/>
  <c r="B297" i="5"/>
  <c r="B653" i="5"/>
  <c r="B489" i="5"/>
  <c r="B813" i="5"/>
  <c r="B325" i="5"/>
  <c r="B77" i="5"/>
  <c r="B353" i="5"/>
  <c r="B625" i="5"/>
  <c r="B213" i="5"/>
  <c r="B133" i="5"/>
  <c r="B517" i="5"/>
  <c r="B162" i="5"/>
  <c r="B270" i="5"/>
  <c r="B354" i="5"/>
  <c r="B434" i="5"/>
  <c r="B134" i="5"/>
  <c r="B490" i="5"/>
  <c r="B546" i="5"/>
  <c r="B462" i="5"/>
  <c r="B26" i="5"/>
  <c r="B214" i="5"/>
  <c r="B78" i="5"/>
  <c r="B382" i="5"/>
  <c r="B242" i="5"/>
  <c r="B106" i="5"/>
  <c r="J25" i="5"/>
  <c r="B706" i="5"/>
  <c r="B734" i="5"/>
  <c r="B574" i="5"/>
  <c r="B814" i="5"/>
  <c r="B654" i="5"/>
  <c r="B786" i="5"/>
  <c r="B626" i="5"/>
  <c r="AC25" i="9"/>
  <c r="AA26" i="9"/>
  <c r="AC26" i="9"/>
  <c r="L26" i="9"/>
  <c r="X26" i="9"/>
  <c r="Q26" i="9"/>
  <c r="O26" i="9"/>
  <c r="H26" i="9"/>
  <c r="Z26" i="9"/>
  <c r="P26" i="9"/>
  <c r="Y26" i="9"/>
  <c r="S26" i="9"/>
  <c r="AB26" i="9"/>
  <c r="R26" i="9"/>
  <c r="K26" i="9"/>
  <c r="T26" i="9"/>
  <c r="F26" i="9"/>
  <c r="V26" i="9"/>
  <c r="I26" i="9"/>
  <c r="G26" i="9"/>
  <c r="W26" i="9"/>
  <c r="M26" i="9"/>
  <c r="N26" i="9"/>
  <c r="J26" i="9"/>
  <c r="U26" i="9"/>
  <c r="P25" i="9"/>
  <c r="M25" i="9"/>
  <c r="H25" i="9"/>
  <c r="W25" i="9"/>
  <c r="Q25" i="9"/>
  <c r="AA25" i="9"/>
  <c r="L25" i="9"/>
  <c r="N25" i="9"/>
  <c r="S25" i="9"/>
  <c r="AB25" i="9"/>
  <c r="R25" i="9"/>
  <c r="O25" i="9"/>
  <c r="G25" i="9"/>
  <c r="V25" i="9"/>
  <c r="I25" i="9"/>
  <c r="T25" i="9"/>
  <c r="Y25" i="9"/>
  <c r="J25" i="9"/>
  <c r="Z25" i="9"/>
  <c r="U25" i="9"/>
  <c r="X25" i="9"/>
  <c r="F25" i="9"/>
  <c r="K25" i="9"/>
  <c r="AV46" i="9"/>
  <c r="AS46" i="9"/>
  <c r="AY46" i="9"/>
  <c r="AW46" i="9"/>
  <c r="AP46" i="9"/>
  <c r="AT46" i="9"/>
  <c r="BA46" i="9"/>
  <c r="AX46" i="9"/>
  <c r="AQ46" i="9"/>
  <c r="AZ46" i="9"/>
  <c r="AU46" i="9"/>
  <c r="AR46" i="9"/>
  <c r="B707" i="5" l="1"/>
  <c r="B735" i="5"/>
  <c r="B575" i="5"/>
  <c r="B787" i="5"/>
  <c r="B627" i="5"/>
  <c r="B815" i="5"/>
  <c r="B655" i="5"/>
  <c r="B435" i="5"/>
  <c r="B135" i="5"/>
  <c r="B271" i="5"/>
  <c r="B383" i="5"/>
  <c r="B491" i="5"/>
  <c r="B107" i="5"/>
  <c r="B215" i="5"/>
  <c r="B163" i="5"/>
  <c r="B547" i="5"/>
  <c r="B355" i="5"/>
  <c r="B519" i="5"/>
  <c r="B299" i="5"/>
  <c r="B27" i="5"/>
  <c r="B327" i="5"/>
  <c r="B463" i="5"/>
  <c r="B243" i="5"/>
  <c r="B79" i="5"/>
  <c r="AP45" i="9"/>
  <c r="AY45" i="9"/>
  <c r="AV45" i="9"/>
  <c r="AT45" i="9"/>
  <c r="AS45" i="9"/>
  <c r="AR45" i="9"/>
  <c r="AW45" i="9"/>
  <c r="AZ45" i="9"/>
  <c r="AQ45" i="9"/>
  <c r="BB45" i="9"/>
  <c r="BA45" i="9"/>
  <c r="AU45" i="9"/>
  <c r="AX45" i="9"/>
  <c r="AM45" i="9"/>
  <c r="AK45" i="9"/>
  <c r="AJ45" i="9"/>
  <c r="AL45" i="9"/>
  <c r="AD45" i="9"/>
  <c r="AE45" i="9"/>
  <c r="AG45" i="9"/>
  <c r="AO45" i="9"/>
  <c r="AN45" i="9"/>
  <c r="AF45" i="9"/>
  <c r="AH45" i="9"/>
  <c r="AI45" i="9"/>
  <c r="AU26" i="9"/>
  <c r="AK26" i="9"/>
  <c r="AW26" i="9"/>
  <c r="AG26" i="9"/>
  <c r="AF26" i="9"/>
  <c r="AS26" i="9"/>
  <c r="AQ26" i="9"/>
  <c r="AM26" i="9"/>
  <c r="BB26" i="9"/>
  <c r="AI26" i="9"/>
  <c r="AE26" i="9"/>
  <c r="AR26" i="9"/>
  <c r="AD26" i="9"/>
  <c r="AL26" i="9"/>
  <c r="BA26" i="9"/>
  <c r="AT26" i="9"/>
  <c r="AZ26" i="9"/>
  <c r="AH26" i="9"/>
  <c r="AJ26" i="9"/>
  <c r="AP26" i="9"/>
  <c r="AO26" i="9"/>
  <c r="AY26" i="9"/>
  <c r="AN26" i="9"/>
  <c r="AV26" i="9"/>
  <c r="AX26" i="9"/>
  <c r="AS25" i="9"/>
  <c r="AN25" i="9"/>
  <c r="AK25" i="9"/>
  <c r="AP25" i="9"/>
  <c r="AU25" i="9"/>
  <c r="AZ25" i="9"/>
  <c r="AE25" i="9"/>
  <c r="AY25" i="9"/>
  <c r="BA25" i="9"/>
  <c r="BB25" i="9"/>
  <c r="AI25" i="9"/>
  <c r="AM25" i="9"/>
  <c r="AD25" i="9"/>
  <c r="AG25" i="9"/>
  <c r="AH25" i="9"/>
  <c r="AV25" i="9"/>
  <c r="AJ25" i="9"/>
  <c r="AO25" i="9"/>
  <c r="AF25" i="9"/>
  <c r="AW25" i="9"/>
  <c r="AT25" i="9"/>
  <c r="AQ25" i="9"/>
  <c r="AX25" i="9"/>
  <c r="AR25" i="9"/>
  <c r="AL25" i="9"/>
  <c r="A46" i="9"/>
  <c r="V24" i="9" l="1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BB46" i="9" s="1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45" i="9"/>
  <c r="A26" i="9"/>
  <c r="A25" i="9"/>
  <c r="BA24" i="9" l="1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4" i="9" l="1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D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D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D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D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D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D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D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D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D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8" i="17" l="1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17" i="17"/>
  <c r="D21" i="17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2" i="17"/>
  <c r="E2" i="17" s="1"/>
  <c r="F2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19" i="17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E16" i="17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E3" i="17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E24" i="17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22" i="17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E5" i="17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E12" i="17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15" i="17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E17" i="17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E21" i="17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<sst xmlns="http://schemas.openxmlformats.org/spreadsheetml/2006/main" count="1561" uniqueCount="431">
  <si>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</si>
  <si>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</si>
  <si>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</si>
  <si>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</si>
  <si>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</si>
  <si>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</si>
  <si>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</si>
  <si>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</si>
  <si>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</si>
  <si>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</si>
  <si>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</si>
  <si>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</si>
  <si>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</si>
  <si>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</si>
  <si>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</si>
  <si>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</si>
  <si>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</si>
  <si>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</si>
  <si>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</si>
  <si>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</si>
  <si>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</si>
  <si>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</si>
  <si>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</si>
  <si>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</si>
  <si>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</si>
  <si>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</si>
  <si>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</si>
  <si>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</si>
  <si>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</si>
  <si>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</si>
  <si>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</si>
  <si>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</si>
  <si>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</si>
  <si>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</si>
  <si>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</si>
  <si>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</si>
  <si>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</si>
  <si>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</si>
  <si>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</si>
  <si>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</si>
  <si>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</si>
  <si>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</si>
  <si>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</si>
  <si>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</si>
  <si>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</si>
  <si>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</si>
  <si>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</si>
  <si>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</si>
  <si>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</si>
  <si>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</si>
  <si>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</si>
  <si>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</si>
  <si>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</si>
  <si>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</si>
  <si>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</si>
  <si>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</si>
  <si>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</si>
  <si>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</si>
  <si>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</si>
  <si>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</si>
  <si>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</si>
  <si>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</si>
  <si>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</si>
  <si>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</si>
  <si>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</si>
  <si>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</si>
  <si>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</si>
  <si>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</si>
  <si>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</si>
  <si>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</si>
  <si>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</si>
  <si>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</si>
  <si>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</si>
  <si>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</si>
  <si>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</si>
  <si>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</si>
  <si>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</si>
  <si>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</si>
  <si>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</si>
  <si>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</si>
  <si>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</si>
  <si>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</si>
  <si>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</si>
  <si>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</si>
  <si>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</si>
  <si>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</si>
  <si>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</si>
  <si>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</si>
  <si>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</si>
  <si>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</si>
  <si>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</si>
  <si>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</si>
  <si>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</si>
  <si>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</si>
  <si>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</si>
  <si>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</si>
  <si>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</si>
  <si>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</si>
  <si>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</si>
  <si>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</si>
  <si>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</si>
  <si>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</si>
  <si>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</si>
  <si>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</si>
  <si>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</si>
  <si>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</si>
  <si>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</si>
  <si>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</si>
  <si>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</si>
  <si>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</si>
  <si>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</si>
  <si>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</si>
  <si>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</si>
  <si>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</si>
  <si>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</si>
  <si>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</si>
  <si>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</si>
  <si>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</si>
  <si>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</si>
  <si>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</si>
  <si>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</si>
  <si>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</si>
  <si>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</si>
  <si>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</si>
  <si>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</si>
  <si>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</si>
  <si>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</si>
  <si>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</si>
  <si>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</si>
  <si>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</si>
  <si>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</si>
  <si>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</si>
  <si>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</si>
  <si>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</si>
  <si>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</si>
  <si>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</si>
  <si>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</si>
  <si>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</si>
  <si>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</si>
  <si>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</si>
  <si>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</si>
  <si>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</si>
  <si>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</si>
  <si>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</si>
  <si>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</si>
  <si>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</si>
  <si>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</si>
  <si>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</si>
  <si>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</si>
  <si>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</si>
  <si>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</si>
  <si>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</si>
  <si>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</si>
  <si>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</si>
  <si>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</si>
  <si>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</si>
  <si>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</si>
  <si>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</si>
  <si>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</si>
  <si>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</si>
  <si>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</si>
  <si>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</si>
  <si>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</si>
  <si>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</si>
  <si>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</si>
  <si>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</si>
  <si>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</si>
  <si>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</si>
  <si>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</si>
  <si>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</si>
  <si>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</si>
  <si>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</si>
  <si>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</si>
  <si>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</si>
  <si>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</si>
  <si>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</si>
  <si>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</si>
  <si>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</si>
  <si>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</si>
  <si>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</si>
  <si>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</si>
  <si>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</si>
  <si>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</si>
  <si>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</si>
  <si>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</si>
  <si>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</si>
  <si>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</si>
  <si>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</si>
  <si>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</si>
  <si>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</si>
  <si>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</si>
  <si>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Suíça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</si>
  <si>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</si>
  <si>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</si>
  <si>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</si>
  <si>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</si>
  <si>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</si>
  <si>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</si>
  <si>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</si>
  <si>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</si>
  <si>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</si>
  <si>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</si>
  <si>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</si>
  <si>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</si>
  <si>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</si>
  <si>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</si>
  <si>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</si>
  <si>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</si>
  <si>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</si>
  <si>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</si>
  <si>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</si>
  <si>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</si>
  <si>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</si>
  <si>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</si>
  <si>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</si>
  <si>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</si>
  <si>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</si>
  <si>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</si>
  <si>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</si>
  <si>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</si>
  <si>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</si>
  <si>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</si>
  <si>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</si>
  <si>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</si>
  <si>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</si>
  <si>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|1994|1995|2000|2001||2002|2003|2004|</t>
  </si>
  <si>
    <t>|1951|1954|1955|1956||1957|</t>
  </si>
  <si>
    <t>|1963|1965|1968|1970|1972|1973|1978|</t>
  </si>
  <si>
    <t>|1959|1960|</t>
  </si>
  <si>
    <t>|1966|1967|</t>
  </si>
  <si>
    <t>|1969|</t>
  </si>
  <si>
    <t>|1971|</t>
  </si>
  <si>
    <t>|1961|1964|1975|1976|1977|1979|1982|1983||1999|2000|2001|2002|2003|2004|2007|2008|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</si>
  <si>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</si>
  <si>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</si>
  <si>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</si>
  <si>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</si>
  <si>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</si>
  <si>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</si>
  <si>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</si>
  <si>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</si>
  <si>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</si>
  <si>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</si>
  <si>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</si>
  <si>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</si>
  <si>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</si>
  <si>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|1980|1981|1986|1987|1992|1993|1994|1996||1997|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</si>
  <si>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</si>
  <si>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</si>
  <si>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</si>
  <si>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</si>
  <si>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</si>
  <si>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</si>
  <si>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</si>
  <si>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</si>
  <si>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</si>
  <si>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</si>
  <si>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</si>
  <si>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</si>
  <si>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</si>
  <si>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</si>
  <si>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</si>
  <si>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</si>
  <si>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</si>
  <si>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</si>
  <si>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</si>
  <si>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</si>
  <si>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</si>
  <si>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</si>
  <si>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</si>
  <si>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</si>
  <si>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</si>
  <si>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</si>
  <si>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</si>
  <si>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</si>
  <si>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</si>
  <si>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</si>
  <si>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</si>
  <si>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</si>
  <si>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</si>
  <si>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</si>
  <si>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</si>
  <si>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</si>
  <si>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</si>
  <si>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</si>
  <si>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</si>
  <si>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</si>
  <si>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</si>
  <si>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</si>
  <si>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</si>
  <si>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</si>
  <si>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</si>
  <si>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</si>
  <si>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</si>
  <si>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</si>
  <si>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</si>
  <si>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</si>
  <si>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</si>
  <si>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</si>
  <si>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</si>
  <si>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</si>
  <si>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</si>
  <si>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</si>
  <si>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</si>
  <si>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</si>
  <si>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</si>
  <si>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</si>
  <si>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</si>
  <si>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</si>
  <si>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</si>
  <si>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</si>
  <si>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</si>
  <si>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</si>
  <si>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</si>
  <si>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</si>
  <si>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</si>
  <si>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</si>
  <si>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</si>
  <si>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</si>
  <si>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</si>
  <si>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DNF</t>
  </si>
  <si>
    <t>|2008|2014|2015|2017| |2018|2019|2020|</t>
  </si>
  <si>
    <t>Brasil</t>
  </si>
  <si>
    <t>2025 FIA Formula One World Championship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</si>
  <si>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</si>
  <si>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</si>
  <si>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</si>
  <si>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</si>
  <si>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</si>
  <si>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Kick Sauber</t>
  </si>
  <si>
    <t>Racing Bulls</t>
  </si>
  <si>
    <t>Alpine</t>
  </si>
  <si>
    <t>RBPT</t>
  </si>
  <si>
    <t>Aston Martin</t>
  </si>
  <si>
    <t>Oscar Piastri</t>
  </si>
  <si>
    <t>Liam Lawson</t>
  </si>
  <si>
    <t>Kimi Antonelli</t>
  </si>
  <si>
    <t>Jack Doohan</t>
  </si>
  <si>
    <t>Oliver Bearman</t>
  </si>
  <si>
    <t>Yuki Tsunoda</t>
  </si>
  <si>
    <t>Japão</t>
  </si>
  <si>
    <t>Isack Hadjar</t>
  </si>
  <si>
    <t>Tailandia</t>
  </si>
  <si>
    <t>Carlos Sainz</t>
  </si>
  <si>
    <t>Gabriel Bortoleto</t>
  </si>
  <si>
    <t>Australia</t>
  </si>
  <si>
    <t>FORMULA 1 LOUIS VUITTON AUSTRALIAN GRAND PRIX 2025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</si>
  <si>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</si>
  <si>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</si>
  <si>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</si>
  <si>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</si>
  <si>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</si>
  <si>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</si>
  <si>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</si>
  <si>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</si>
  <si>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</si>
  <si>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</si>
  <si>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Imola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</si>
  <si>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</si>
  <si>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</si>
  <si>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</si>
  <si>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</si>
  <si>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</si>
  <si>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</si>
  <si>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</si>
  <si>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</si>
  <si>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</si>
  <si>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</si>
  <si>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</si>
  <si>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</si>
  <si>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</si>
  <si>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FORMULA 1 HEINEKEN CHINESE GRAND PRIX 2025</t>
  </si>
  <si>
    <t>FORMULA 1 LENOVO JAPANESE GRAND PRIX 2025</t>
  </si>
  <si>
    <t>FORMULA 1 GULF AIR BAHRAIN GRAND PRIX 2025</t>
  </si>
  <si>
    <t>FORMULA 1 STC SAUDI ARABIAN GRAND PRIX 2025</t>
  </si>
  <si>
    <t>FORMULA 1 CRYPTO.COM MIAMI GRAND PRIX 2025</t>
  </si>
  <si>
    <t>FORMULA 1 AWS GRAN PREMIO DEL MADE IN ITALY E DELL'EMILIA-ROMAGNA 2025</t>
  </si>
  <si>
    <t>FORMULA 1 TAG HEUER GRAND PRIX DE MONACO 2025</t>
  </si>
  <si>
    <t>FORMULA 1 ARAMCO GRAN PREMIO DE ESPAÑA 2025</t>
  </si>
  <si>
    <t>FORMULA 1 PIRELLI GRAND PRIX DU CANADA 2025</t>
  </si>
  <si>
    <t>FORMULA 1 MSC CRUISES AUSTRIAN GRAND PRIX 2025</t>
  </si>
  <si>
    <t>FORMULA 1 QATAR AIRWAYS BRITISH GRAND PRIX 2025</t>
  </si>
  <si>
    <t>FORMULA 1 MOËT &amp; CHANDON BELGIAN GRAND PRIX 2025</t>
  </si>
  <si>
    <t>FORMULA 1 LENOVO HUNGARIAN GRAND PRIX 2025</t>
  </si>
  <si>
    <t>FORMULA 1 HEINEKEN DUTCH GRAND PRIX 2025</t>
  </si>
  <si>
    <t>FORMULA 1 PIRELLI GRAN PREMIO D'ITALIA 2025</t>
  </si>
  <si>
    <t>FORMULA 1 QATAR AIRWAYS AZERBAIJAN GRAND PRIX 2025</t>
  </si>
  <si>
    <t>FORMULA 1 SINGAPORE AIRLINES SINGAPORE GRAND PRIX 2025</t>
  </si>
  <si>
    <t>FORMULA 1 MSC CRUISES UNITED STATES GRAND PRIX 2025</t>
  </si>
  <si>
    <t>FORMULA 1  GRAN PREMIO DE LA CIUDAD DE MÉXICO 2025</t>
  </si>
  <si>
    <t>FORMULA 1 MSC CRUISES GRANDE PRÊMIO DE SÃO PAULO 2025</t>
  </si>
  <si>
    <t>FORMULA 1 HEINEKEN LAS VEGAS GRAND PRIX 2025</t>
  </si>
  <si>
    <t>FORMULA 1 QATAR AIRWAYS QATAR GRAND PRIX 2025</t>
  </si>
  <si>
    <t>FORMULA 1 ETIHAD AIRWAYS ABU DHABI GRAND PRIX 2025</t>
  </si>
  <si>
    <t>George Russell</t>
  </si>
  <si>
    <t>AUS  CHI  JAP  BAH  SAU  MIA  EMI  MON  ESP  CAN  AUS  ING  BEL  HUN  HOL  ITA  AZE  SIN  USA  MEX  SÃO  VEG  QAT  ABU</t>
  </si>
  <si>
    <t>-        SPRINT        -</t>
  </si>
  <si>
    <t>-        RACE        -</t>
  </si>
  <si>
    <t>DSQ</t>
  </si>
  <si>
    <t>DNS</t>
  </si>
  <si>
    <t>Franco Colapinto</t>
  </si>
  <si>
    <t>Argentina</t>
  </si>
  <si>
    <t>Planilha produzida por Maurilyn Júnior. @maurilyn</t>
  </si>
  <si>
    <t>McLaren 🏆</t>
  </si>
  <si>
    <t>|1974|1984|1985|1988|1989|1990|1991|1998||2024|2025|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</si>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</sst>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3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9"/>
      <color rgb="FFFFFF00"/>
      <name val="Verdana"/>
      <family val="2"/>
    </font>
    <font>
      <sz val="8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b/>
      <u/>
      <sz val="8"/>
      <color rgb="FFFFFF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b/>
      <sz val="10"/>
      <color indexed="12"/>
      <name val="Arial"/>
      <family val="2"/>
    </font>
    <font>
      <sz val="10"/>
      <name val="Wingdings"/>
      <charset val="2"/>
    </font>
    <font>
      <b/>
      <sz val="10"/>
      <color theme="9" tint="0.79998168889431442"/>
      <name val="Verdana"/>
      <family val="2"/>
    </font>
    <font>
      <b/>
      <sz val="10"/>
      <color theme="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theme="6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7" fillId="0" borderId="0" applyFont="0" applyFill="0" applyBorder="0" applyAlignment="0" applyProtection="0"/>
  </cellStyleXfs>
  <cellXfs count="165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6" fillId="3" borderId="6" xfId="0" applyFont="1" applyFill="1" applyBorder="1" applyProtection="1">
      <protection hidden="1"/>
    </xf>
    <xf numFmtId="0" fontId="26" fillId="3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4" fillId="4" borderId="0" xfId="0" applyFont="1" applyFill="1" applyProtection="1">
      <protection hidden="1"/>
    </xf>
    <xf numFmtId="0" fontId="5" fillId="4" borderId="0" xfId="0" applyFont="1" applyFill="1" applyProtection="1">
      <protection hidden="1"/>
    </xf>
    <xf numFmtId="0" fontId="9" fillId="4" borderId="0" xfId="0" applyFont="1" applyFill="1" applyBorder="1" applyProtection="1">
      <protection hidden="1"/>
    </xf>
    <xf numFmtId="0" fontId="9" fillId="4" borderId="0" xfId="0" applyFont="1" applyFill="1" applyBorder="1" applyAlignment="1" applyProtection="1">
      <alignment horizontal="center"/>
      <protection hidden="1"/>
    </xf>
    <xf numFmtId="0" fontId="22" fillId="4" borderId="0" xfId="0" applyFont="1" applyFill="1" applyBorder="1" applyAlignment="1" applyProtection="1">
      <alignment horizontal="center"/>
      <protection hidden="1"/>
    </xf>
    <xf numFmtId="0" fontId="9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Alignment="1" applyProtection="1">
      <alignment vertical="center"/>
      <protection hidden="1"/>
    </xf>
    <xf numFmtId="0" fontId="9" fillId="5" borderId="0" xfId="0" applyFont="1" applyFill="1" applyAlignment="1" applyProtection="1">
      <alignment horizontal="center"/>
      <protection hidden="1"/>
    </xf>
    <xf numFmtId="0" fontId="9" fillId="5" borderId="0" xfId="0" applyFont="1" applyFill="1" applyBorder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4" fillId="6" borderId="0" xfId="0" applyFont="1" applyFill="1" applyAlignment="1" applyProtection="1">
      <alignment horizontal="center" vertical="center"/>
      <protection hidden="1"/>
    </xf>
    <xf numFmtId="0" fontId="2" fillId="7" borderId="0" xfId="0" applyFont="1" applyFill="1" applyBorder="1" applyAlignment="1" applyProtection="1">
      <alignment horizontal="center"/>
      <protection hidden="1"/>
    </xf>
    <xf numFmtId="0" fontId="30" fillId="7" borderId="0" xfId="0" applyFont="1" applyFill="1" applyBorder="1" applyAlignment="1" applyProtection="1">
      <alignment horizontal="center"/>
      <protection hidden="1"/>
    </xf>
    <xf numFmtId="0" fontId="2" fillId="7" borderId="0" xfId="0" applyFont="1" applyFill="1" applyAlignment="1" applyProtection="1">
      <alignment horizont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2" fillId="9" borderId="0" xfId="0" applyFont="1" applyFill="1" applyProtection="1">
      <protection hidden="1"/>
    </xf>
    <xf numFmtId="0" fontId="0" fillId="9" borderId="0" xfId="0" applyFill="1"/>
    <xf numFmtId="0" fontId="15" fillId="9" borderId="0" xfId="0" applyFont="1" applyFill="1" applyProtection="1"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2" fillId="7" borderId="6" xfId="0" applyFont="1" applyFill="1" applyBorder="1" applyAlignment="1" applyProtection="1">
      <alignment horizontal="center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0" xfId="0" applyFont="1" applyFill="1" applyBorder="1" applyProtection="1">
      <protection hidden="1"/>
    </xf>
    <xf numFmtId="164" fontId="2" fillId="4" borderId="0" xfId="0" applyNumberFormat="1" applyFont="1" applyFill="1" applyBorder="1" applyProtection="1">
      <protection hidden="1"/>
    </xf>
    <xf numFmtId="0" fontId="2" fillId="4" borderId="0" xfId="0" applyFont="1" applyFill="1" applyBorder="1" applyAlignment="1" applyProtection="1">
      <alignment horizontal="left" indent="1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164" fontId="4" fillId="7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6" borderId="11" xfId="0" applyFont="1" applyFill="1" applyBorder="1" applyAlignment="1" applyProtection="1">
      <alignment horizontal="left" vertical="center" wrapText="1" indent="1"/>
      <protection hidden="1"/>
    </xf>
    <xf numFmtId="0" fontId="9" fillId="6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3" xfId="0" applyFont="1" applyFill="1" applyBorder="1" applyAlignment="1" applyProtection="1">
      <alignment horizontal="left" vertical="center" wrapText="1" indent="1"/>
      <protection hidden="1"/>
    </xf>
    <xf numFmtId="0" fontId="9" fillId="6" borderId="12" xfId="0" applyNumberFormat="1" applyFont="1" applyFill="1" applyBorder="1" applyAlignment="1" applyProtection="1">
      <alignment horizontal="center" vertical="center" wrapText="1"/>
      <protection hidden="1"/>
    </xf>
    <xf numFmtId="0" fontId="9" fillId="6" borderId="12" xfId="0" applyFont="1" applyFill="1" applyBorder="1" applyAlignment="1" applyProtection="1">
      <alignment horizontal="left" vertical="center" wrapText="1" indent="1"/>
      <protection hidden="1"/>
    </xf>
    <xf numFmtId="0" fontId="9" fillId="5" borderId="0" xfId="0" applyFont="1" applyFill="1" applyBorder="1" applyAlignment="1" applyProtection="1">
      <alignment horizontal="left" indent="1"/>
      <protection locked="0"/>
    </xf>
    <xf numFmtId="0" fontId="9" fillId="5" borderId="0" xfId="0" applyFont="1" applyFill="1" applyBorder="1" applyProtection="1"/>
    <xf numFmtId="0" fontId="9" fillId="5" borderId="0" xfId="0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  <protection locked="0"/>
    </xf>
    <xf numFmtId="0" fontId="17" fillId="6" borderId="0" xfId="0" applyFont="1" applyFill="1" applyBorder="1" applyAlignment="1" applyProtection="1">
      <alignment horizontal="center"/>
      <protection hidden="1"/>
    </xf>
    <xf numFmtId="0" fontId="19" fillId="6" borderId="0" xfId="0" applyFont="1" applyFill="1" applyBorder="1" applyAlignment="1" applyProtection="1">
      <alignment horizontal="left" indent="1"/>
      <protection locked="0"/>
    </xf>
    <xf numFmtId="0" fontId="19" fillId="6" borderId="0" xfId="0" applyFont="1" applyFill="1" applyBorder="1" applyProtection="1"/>
    <xf numFmtId="0" fontId="19" fillId="6" borderId="0" xfId="0" applyNumberFormat="1" applyFont="1" applyFill="1" applyBorder="1" applyAlignment="1" applyProtection="1">
      <alignment horizontal="center" vertical="center"/>
    </xf>
    <xf numFmtId="0" fontId="23" fillId="6" borderId="0" xfId="0" applyFont="1" applyFill="1" applyBorder="1" applyAlignment="1" applyProtection="1">
      <alignment horizontal="center"/>
      <protection hidden="1"/>
    </xf>
    <xf numFmtId="0" fontId="24" fillId="6" borderId="0" xfId="0" applyFont="1" applyFill="1" applyBorder="1" applyAlignment="1" applyProtection="1">
      <alignment horizontal="left" indent="1"/>
      <protection locked="0"/>
    </xf>
    <xf numFmtId="1" fontId="24" fillId="6" borderId="0" xfId="0" quotePrefix="1" applyNumberFormat="1" applyFont="1" applyFill="1" applyBorder="1" applyAlignment="1" applyProtection="1">
      <alignment horizontal="center" vertical="center"/>
    </xf>
    <xf numFmtId="1" fontId="16" fillId="10" borderId="0" xfId="0" applyNumberFormat="1" applyFont="1" applyFill="1" applyBorder="1" applyAlignment="1" applyProtection="1">
      <alignment horizontal="center"/>
      <protection hidden="1"/>
    </xf>
    <xf numFmtId="1" fontId="9" fillId="10" borderId="0" xfId="0" applyNumberFormat="1" applyFont="1" applyFill="1" applyBorder="1" applyAlignment="1" applyProtection="1">
      <alignment horizontal="center"/>
      <protection hidden="1"/>
    </xf>
    <xf numFmtId="0" fontId="14" fillId="6" borderId="0" xfId="0" applyFont="1" applyFill="1" applyBorder="1" applyAlignment="1" applyProtection="1">
      <alignment horizontal="center"/>
    </xf>
    <xf numFmtId="0" fontId="31" fillId="4" borderId="0" xfId="0" applyFont="1" applyFill="1" applyBorder="1" applyProtection="1"/>
    <xf numFmtId="0" fontId="9" fillId="4" borderId="0" xfId="0" applyFont="1" applyFill="1" applyBorder="1" applyAlignment="1" applyProtection="1">
      <alignment horizontal="center"/>
    </xf>
    <xf numFmtId="0" fontId="9" fillId="4" borderId="0" xfId="0" applyFont="1" applyFill="1" applyBorder="1" applyAlignment="1" applyProtection="1">
      <alignment horizontal="left" indent="1"/>
    </xf>
    <xf numFmtId="0" fontId="9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1" fontId="2" fillId="4" borderId="0" xfId="0" applyNumberFormat="1" applyFont="1" applyFill="1" applyBorder="1" applyAlignment="1" applyProtection="1">
      <alignment horizontal="center"/>
    </xf>
    <xf numFmtId="0" fontId="7" fillId="4" borderId="0" xfId="0" applyFont="1" applyFill="1" applyBorder="1" applyProtection="1"/>
    <xf numFmtId="166" fontId="7" fillId="4" borderId="0" xfId="0" applyNumberFormat="1" applyFont="1" applyFill="1" applyBorder="1" applyAlignment="1" applyProtection="1">
      <alignment horizontal="center"/>
    </xf>
    <xf numFmtId="0" fontId="0" fillId="4" borderId="0" xfId="0" applyFill="1" applyBorder="1" applyProtection="1"/>
    <xf numFmtId="0" fontId="2" fillId="4" borderId="0" xfId="0" applyFont="1" applyFill="1" applyBorder="1" applyProtection="1"/>
    <xf numFmtId="166" fontId="4" fillId="4" borderId="0" xfId="0" applyNumberFormat="1" applyFont="1" applyFill="1" applyBorder="1" applyAlignment="1" applyProtection="1">
      <alignment vertical="center"/>
    </xf>
    <xf numFmtId="1" fontId="4" fillId="4" borderId="0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 vertical="center"/>
    </xf>
    <xf numFmtId="0" fontId="9" fillId="4" borderId="0" xfId="0" applyFont="1" applyFill="1" applyBorder="1" applyAlignment="1" applyProtection="1">
      <alignment horizontal="left" indent="1"/>
      <protection locked="0"/>
    </xf>
    <xf numFmtId="1" fontId="9" fillId="4" borderId="0" xfId="0" applyNumberFormat="1" applyFont="1" applyFill="1" applyBorder="1" applyAlignment="1" applyProtection="1">
      <alignment horizontal="center"/>
      <protection hidden="1"/>
    </xf>
    <xf numFmtId="0" fontId="9" fillId="4" borderId="0" xfId="0" applyFont="1" applyFill="1" applyBorder="1" applyAlignment="1" applyProtection="1">
      <alignment horizontal="center"/>
      <protection locked="0"/>
    </xf>
    <xf numFmtId="0" fontId="6" fillId="4" borderId="0" xfId="0" applyFont="1" applyFill="1" applyBorder="1" applyProtection="1"/>
    <xf numFmtId="0" fontId="4" fillId="4" borderId="0" xfId="0" applyFont="1" applyFill="1" applyBorder="1" applyProtection="1"/>
    <xf numFmtId="0" fontId="9" fillId="4" borderId="0" xfId="0" quotePrefix="1" applyFont="1" applyFill="1" applyBorder="1" applyAlignment="1" applyProtection="1">
      <alignment horizontal="center"/>
      <protection locked="0"/>
    </xf>
    <xf numFmtId="9" fontId="9" fillId="4" borderId="0" xfId="0" applyNumberFormat="1" applyFont="1" applyFill="1" applyBorder="1" applyAlignment="1" applyProtection="1">
      <alignment horizontal="center"/>
      <protection locked="0"/>
    </xf>
    <xf numFmtId="0" fontId="2" fillId="4" borderId="0" xfId="2" applyNumberFormat="1" applyFont="1" applyFill="1" applyBorder="1" applyAlignment="1" applyProtection="1">
      <alignment horizontal="center"/>
    </xf>
    <xf numFmtId="166" fontId="6" fillId="4" borderId="0" xfId="0" applyNumberFormat="1" applyFont="1" applyFill="1" applyBorder="1" applyAlignment="1" applyProtection="1">
      <alignment horizontal="center"/>
    </xf>
    <xf numFmtId="166" fontId="2" fillId="4" borderId="0" xfId="0" applyNumberFormat="1" applyFont="1" applyFill="1" applyBorder="1" applyAlignment="1" applyProtection="1">
      <alignment horizontal="center"/>
    </xf>
    <xf numFmtId="0" fontId="31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left" indent="1"/>
    </xf>
    <xf numFmtId="0" fontId="2" fillId="4" borderId="0" xfId="0" applyFont="1" applyFill="1" applyBorder="1" applyAlignment="1" applyProtection="1">
      <alignment horizontal="left" indent="1"/>
      <protection locked="0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0" fillId="5" borderId="0" xfId="0" applyFont="1" applyFill="1" applyBorder="1" applyProtection="1">
      <protection locked="0"/>
    </xf>
    <xf numFmtId="0" fontId="20" fillId="5" borderId="8" xfId="0" applyFont="1" applyFill="1" applyBorder="1" applyProtection="1">
      <protection locked="0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10" borderId="4" xfId="0" applyFont="1" applyFill="1" applyBorder="1" applyAlignment="1" applyProtection="1">
      <alignment horizontal="center"/>
      <protection hidden="1"/>
    </xf>
    <xf numFmtId="0" fontId="9" fillId="10" borderId="5" xfId="0" applyFont="1" applyFill="1" applyBorder="1" applyAlignment="1" applyProtection="1">
      <alignment horizontal="center"/>
      <protection hidden="1"/>
    </xf>
    <xf numFmtId="0" fontId="10" fillId="6" borderId="0" xfId="0" applyFont="1" applyFill="1" applyBorder="1" applyAlignment="1" applyProtection="1">
      <alignment horizontal="center"/>
      <protection locked="0"/>
    </xf>
    <xf numFmtId="0" fontId="10" fillId="6" borderId="7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10" fillId="6" borderId="9" xfId="0" applyFont="1" applyFill="1" applyBorder="1" applyAlignment="1" applyProtection="1">
      <alignment horizontal="center"/>
      <protection locked="0"/>
    </xf>
    <xf numFmtId="0" fontId="9" fillId="10" borderId="0" xfId="0" applyFont="1" applyFill="1" applyBorder="1" applyAlignment="1" applyProtection="1">
      <alignment horizontal="center"/>
      <protection locked="0" hidden="1"/>
    </xf>
    <xf numFmtId="0" fontId="9" fillId="10" borderId="8" xfId="0" applyFont="1" applyFill="1" applyBorder="1" applyAlignment="1" applyProtection="1">
      <alignment horizontal="center"/>
      <protection locked="0" hidden="1"/>
    </xf>
    <xf numFmtId="0" fontId="1" fillId="4" borderId="0" xfId="0" applyFont="1" applyFill="1" applyAlignment="1">
      <alignment vertical="center"/>
    </xf>
    <xf numFmtId="0" fontId="1" fillId="4" borderId="0" xfId="0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8" fillId="4" borderId="0" xfId="0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6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25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vertical="center" wrapText="1" indent="1"/>
    </xf>
    <xf numFmtId="0" fontId="21" fillId="5" borderId="6" xfId="0" applyFont="1" applyFill="1" applyBorder="1" applyAlignment="1">
      <alignment horizontal="left" wrapText="1" indent="1"/>
    </xf>
    <xf numFmtId="0" fontId="25" fillId="5" borderId="6" xfId="0" applyFont="1" applyFill="1" applyBorder="1" applyAlignment="1">
      <alignment horizontal="left" wrapText="1" indent="1"/>
    </xf>
    <xf numFmtId="0" fontId="4" fillId="3" borderId="6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left" wrapText="1"/>
    </xf>
    <xf numFmtId="0" fontId="16" fillId="6" borderId="6" xfId="0" applyFont="1" applyFill="1" applyBorder="1" applyAlignment="1" applyProtection="1">
      <alignment horizontal="center" vertical="center"/>
      <protection hidden="1"/>
    </xf>
    <xf numFmtId="0" fontId="9" fillId="6" borderId="6" xfId="0" applyFont="1" applyFill="1" applyBorder="1" applyAlignment="1" applyProtection="1">
      <alignment horizontal="center" vertical="center"/>
      <protection hidden="1"/>
    </xf>
    <xf numFmtId="0" fontId="4" fillId="10" borderId="6" xfId="0" applyFont="1" applyFill="1" applyBorder="1" applyAlignment="1">
      <alignment horizontal="center"/>
    </xf>
    <xf numFmtId="166" fontId="4" fillId="7" borderId="0" xfId="0" applyNumberFormat="1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/>
    </xf>
    <xf numFmtId="0" fontId="0" fillId="0" borderId="6" xfId="0" applyBorder="1"/>
    <xf numFmtId="0" fontId="29" fillId="4" borderId="0" xfId="1" applyFont="1" applyFill="1" applyAlignment="1" applyProtection="1">
      <alignment vertical="center"/>
      <protection locked="0" hidden="1"/>
    </xf>
    <xf numFmtId="0" fontId="4" fillId="9" borderId="0" xfId="0" applyFont="1" applyFill="1" applyProtection="1">
      <protection hidden="1"/>
    </xf>
    <xf numFmtId="166" fontId="4" fillId="7" borderId="0" xfId="0" quotePrefix="1" applyNumberFormat="1" applyFont="1" applyFill="1" applyBorder="1" applyAlignment="1" applyProtection="1">
      <alignment vertical="center"/>
    </xf>
    <xf numFmtId="166" fontId="4" fillId="7" borderId="0" xfId="0" applyNumberFormat="1" applyFont="1" applyFill="1" applyBorder="1" applyAlignment="1" applyProtection="1">
      <alignment vertical="center"/>
    </xf>
    <xf numFmtId="166" fontId="4" fillId="7" borderId="0" xfId="0" quotePrefix="1" applyNumberFormat="1" applyFont="1" applyFill="1" applyBorder="1" applyAlignment="1" applyProtection="1">
      <alignment horizontal="center" vertical="center"/>
    </xf>
    <xf numFmtId="0" fontId="4" fillId="7" borderId="0" xfId="0" applyFont="1" applyFill="1" applyBorder="1" applyAlignment="1" applyProtection="1">
      <alignment horizontal="center"/>
      <protection hidden="1"/>
    </xf>
    <xf numFmtId="0" fontId="4" fillId="5" borderId="0" xfId="0" applyFont="1" applyFill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32" fillId="11" borderId="14" xfId="0" applyFont="1" applyFill="1" applyBorder="1"/>
    <xf numFmtId="0" fontId="0" fillId="0" borderId="0" xfId="0" applyNumberForma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0" fontId="4" fillId="8" borderId="0" xfId="0" applyFont="1" applyFill="1" applyBorder="1" applyAlignment="1" applyProtection="1">
      <alignment horizontal="center" vertical="center"/>
      <protection hidden="1"/>
    </xf>
    <xf numFmtId="0" fontId="18" fillId="9" borderId="0" xfId="0" applyFont="1" applyFill="1" applyBorder="1" applyAlignment="1" applyProtection="1">
      <alignment horizontal="center" vertical="center"/>
      <protection hidden="1"/>
    </xf>
    <xf numFmtId="0" fontId="2" fillId="9" borderId="0" xfId="0" applyFont="1" applyFill="1" applyAlignment="1" applyProtection="1">
      <alignment horizontal="center"/>
      <protection hidden="1"/>
    </xf>
    <xf numFmtId="0" fontId="4" fillId="6" borderId="6" xfId="0" applyFont="1" applyFill="1" applyBorder="1" applyAlignment="1" applyProtection="1">
      <alignment horizontal="center"/>
      <protection hidden="1"/>
    </xf>
    <xf numFmtId="0" fontId="2" fillId="8" borderId="10" xfId="0" applyFont="1" applyFill="1" applyBorder="1" applyAlignment="1" applyProtection="1">
      <alignment horizontal="center" vertical="center" wrapText="1"/>
      <protection hidden="1"/>
    </xf>
    <xf numFmtId="165" fontId="9" fillId="6" borderId="10" xfId="0" applyNumberFormat="1" applyFont="1" applyFill="1" applyBorder="1" applyAlignment="1" applyProtection="1">
      <alignment horizontal="center" vertical="center" wrapText="1"/>
      <protection hidden="1"/>
    </xf>
    <xf numFmtId="0" fontId="9" fillId="10" borderId="10" xfId="0" applyFont="1" applyFill="1" applyBorder="1" applyAlignment="1" applyProtection="1">
      <alignment horizontal="center" vertical="center" wrapText="1"/>
      <protection hidden="1"/>
    </xf>
    <xf numFmtId="0" fontId="19" fillId="5" borderId="11" xfId="0" applyFont="1" applyFill="1" applyBorder="1" applyAlignment="1">
      <alignment horizontal="center" vertical="center"/>
    </xf>
    <xf numFmtId="0" fontId="19" fillId="5" borderId="13" xfId="0" applyFont="1" applyFill="1" applyBorder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0" fontId="9" fillId="10" borderId="11" xfId="0" applyFont="1" applyFill="1" applyBorder="1" applyAlignment="1" applyProtection="1">
      <alignment horizontal="center" vertical="center" wrapText="1"/>
      <protection hidden="1"/>
    </xf>
    <xf numFmtId="0" fontId="9" fillId="10" borderId="13" xfId="0" applyFont="1" applyFill="1" applyBorder="1" applyAlignment="1" applyProtection="1">
      <alignment horizontal="center" vertical="center" wrapText="1"/>
      <protection hidden="1"/>
    </xf>
    <xf numFmtId="0" fontId="9" fillId="10" borderId="12" xfId="0" applyFont="1" applyFill="1" applyBorder="1" applyAlignment="1" applyProtection="1">
      <alignment horizontal="center" vertical="center" wrapText="1"/>
      <protection hidden="1"/>
    </xf>
    <xf numFmtId="0" fontId="28" fillId="8" borderId="0" xfId="0" applyFont="1" applyFill="1" applyBorder="1" applyAlignment="1" applyProtection="1">
      <alignment horizontal="center"/>
      <protection hidden="1"/>
    </xf>
    <xf numFmtId="0" fontId="4" fillId="7" borderId="11" xfId="0" applyFont="1" applyFill="1" applyBorder="1" applyAlignment="1" applyProtection="1">
      <alignment horizontal="center" vertical="center"/>
      <protection hidden="1"/>
    </xf>
    <xf numFmtId="0" fontId="2" fillId="8" borderId="12" xfId="0" applyFont="1" applyFill="1" applyBorder="1" applyAlignment="1" applyProtection="1">
      <alignment horizontal="center" vertical="center" wrapText="1"/>
      <protection hidden="1"/>
    </xf>
    <xf numFmtId="166" fontId="4" fillId="7" borderId="0" xfId="0" applyNumberFormat="1" applyFont="1" applyFill="1" applyBorder="1" applyAlignment="1" applyProtection="1">
      <alignment horizontal="center" vertical="center"/>
    </xf>
    <xf numFmtId="0" fontId="7" fillId="4" borderId="0" xfId="0" applyFont="1" applyFill="1" applyBorder="1" applyAlignment="1" applyProtection="1">
      <alignment horizontal="center" vertical="center"/>
    </xf>
    <xf numFmtId="166" fontId="7" fillId="4" borderId="0" xfId="0" applyNumberFormat="1" applyFont="1" applyFill="1" applyBorder="1" applyAlignment="1" applyProtection="1">
      <alignment horizontal="center" vertical="center"/>
    </xf>
  </cellXfs>
  <cellStyles count="3">
    <cellStyle name="Hiperlink" xfId="1" builtinId="8"/>
    <cellStyle name="Normal" xfId="0" builtinId="0"/>
    <cellStyle name="Vírgula" xfId="2" builtinId="3"/>
  </cellStyles>
  <dxfs count="18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1"/>
                <c:order val="21"/>
                <c:tx>
                  <c:strRef>
                    <c:extLst>
                      <c:ext uri="{02D57815-91ED-43cb-92C2-25804820EDAC}">
                        <c15:formulaRef>
                          <c15:sqref>'Dummy Chart'!$B$23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Chart'!$C$23:$Z$23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F0B-44C1-9290-1A55BB25C848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25</c:v>
                </c:pt>
                <c:pt idx="1">
                  <c:v>44</c:v>
                </c:pt>
                <c:pt idx="2">
                  <c:v>62</c:v>
                </c:pt>
                <c:pt idx="3">
                  <c:v>77</c:v>
                </c:pt>
                <c:pt idx="4">
                  <c:v>89</c:v>
                </c:pt>
                <c:pt idx="5">
                  <c:v>115</c:v>
                </c:pt>
                <c:pt idx="6">
                  <c:v>133</c:v>
                </c:pt>
                <c:pt idx="7">
                  <c:v>158</c:v>
                </c:pt>
                <c:pt idx="8">
                  <c:v>176</c:v>
                </c:pt>
                <c:pt idx="9">
                  <c:v>176</c:v>
                </c:pt>
                <c:pt idx="10">
                  <c:v>201</c:v>
                </c:pt>
                <c:pt idx="11">
                  <c:v>226</c:v>
                </c:pt>
                <c:pt idx="12">
                  <c:v>250</c:v>
                </c:pt>
                <c:pt idx="13">
                  <c:v>275</c:v>
                </c:pt>
                <c:pt idx="14">
                  <c:v>275</c:v>
                </c:pt>
                <c:pt idx="15">
                  <c:v>293</c:v>
                </c:pt>
                <c:pt idx="16">
                  <c:v>299</c:v>
                </c:pt>
                <c:pt idx="17">
                  <c:v>314</c:v>
                </c:pt>
                <c:pt idx="18">
                  <c:v>332</c:v>
                </c:pt>
                <c:pt idx="19">
                  <c:v>357</c:v>
                </c:pt>
                <c:pt idx="20">
                  <c:v>390</c:v>
                </c:pt>
                <c:pt idx="21">
                  <c:v>390</c:v>
                </c:pt>
                <c:pt idx="22">
                  <c:v>408</c:v>
                </c:pt>
                <c:pt idx="23">
                  <c:v>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18</c:v>
                </c:pt>
                <c:pt idx="1">
                  <c:v>36</c:v>
                </c:pt>
                <c:pt idx="2">
                  <c:v>61</c:v>
                </c:pt>
                <c:pt idx="3">
                  <c:v>69</c:v>
                </c:pt>
                <c:pt idx="4">
                  <c:v>87</c:v>
                </c:pt>
                <c:pt idx="5">
                  <c:v>99</c:v>
                </c:pt>
                <c:pt idx="6">
                  <c:v>124</c:v>
                </c:pt>
                <c:pt idx="7">
                  <c:v>136</c:v>
                </c:pt>
                <c:pt idx="8">
                  <c:v>137</c:v>
                </c:pt>
                <c:pt idx="9">
                  <c:v>155</c:v>
                </c:pt>
                <c:pt idx="10">
                  <c:v>155</c:v>
                </c:pt>
                <c:pt idx="11">
                  <c:v>165</c:v>
                </c:pt>
                <c:pt idx="12">
                  <c:v>185</c:v>
                </c:pt>
                <c:pt idx="13">
                  <c:v>187</c:v>
                </c:pt>
                <c:pt idx="14">
                  <c:v>205</c:v>
                </c:pt>
                <c:pt idx="15">
                  <c:v>230</c:v>
                </c:pt>
                <c:pt idx="16">
                  <c:v>255</c:v>
                </c:pt>
                <c:pt idx="17">
                  <c:v>273</c:v>
                </c:pt>
                <c:pt idx="18">
                  <c:v>306</c:v>
                </c:pt>
                <c:pt idx="19">
                  <c:v>321</c:v>
                </c:pt>
                <c:pt idx="20">
                  <c:v>341</c:v>
                </c:pt>
                <c:pt idx="21">
                  <c:v>366</c:v>
                </c:pt>
                <c:pt idx="22">
                  <c:v>396</c:v>
                </c:pt>
                <c:pt idx="23">
                  <c:v>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</c:v>
                </c:pt>
                <c:pt idx="1">
                  <c:v>34</c:v>
                </c:pt>
                <c:pt idx="2">
                  <c:v>49</c:v>
                </c:pt>
                <c:pt idx="3">
                  <c:v>74</c:v>
                </c:pt>
                <c:pt idx="4">
                  <c:v>99</c:v>
                </c:pt>
                <c:pt idx="5">
                  <c:v>131</c:v>
                </c:pt>
                <c:pt idx="6">
                  <c:v>146</c:v>
                </c:pt>
                <c:pt idx="7">
                  <c:v>161</c:v>
                </c:pt>
                <c:pt idx="8">
                  <c:v>186</c:v>
                </c:pt>
                <c:pt idx="9">
                  <c:v>198</c:v>
                </c:pt>
                <c:pt idx="10">
                  <c:v>216</c:v>
                </c:pt>
                <c:pt idx="11">
                  <c:v>234</c:v>
                </c:pt>
                <c:pt idx="12">
                  <c:v>266</c:v>
                </c:pt>
                <c:pt idx="13">
                  <c:v>284</c:v>
                </c:pt>
                <c:pt idx="14">
                  <c:v>309</c:v>
                </c:pt>
                <c:pt idx="15">
                  <c:v>324</c:v>
                </c:pt>
                <c:pt idx="16">
                  <c:v>324</c:v>
                </c:pt>
                <c:pt idx="17">
                  <c:v>336</c:v>
                </c:pt>
                <c:pt idx="18">
                  <c:v>346</c:v>
                </c:pt>
                <c:pt idx="19">
                  <c:v>356</c:v>
                </c:pt>
                <c:pt idx="20">
                  <c:v>366</c:v>
                </c:pt>
                <c:pt idx="21">
                  <c:v>366</c:v>
                </c:pt>
                <c:pt idx="22">
                  <c:v>392</c:v>
                </c:pt>
                <c:pt idx="23">
                  <c:v>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35</c:v>
                </c:pt>
                <c:pt idx="2">
                  <c:v>45</c:v>
                </c:pt>
                <c:pt idx="3">
                  <c:v>63</c:v>
                </c:pt>
                <c:pt idx="4">
                  <c:v>73</c:v>
                </c:pt>
                <c:pt idx="5">
                  <c:v>93</c:v>
                </c:pt>
                <c:pt idx="6">
                  <c:v>99</c:v>
                </c:pt>
                <c:pt idx="7">
                  <c:v>99</c:v>
                </c:pt>
                <c:pt idx="8">
                  <c:v>111</c:v>
                </c:pt>
                <c:pt idx="9">
                  <c:v>136</c:v>
                </c:pt>
                <c:pt idx="10">
                  <c:v>146</c:v>
                </c:pt>
                <c:pt idx="11">
                  <c:v>147</c:v>
                </c:pt>
                <c:pt idx="12">
                  <c:v>157</c:v>
                </c:pt>
                <c:pt idx="13">
                  <c:v>172</c:v>
                </c:pt>
                <c:pt idx="14">
                  <c:v>184</c:v>
                </c:pt>
                <c:pt idx="15">
                  <c:v>194</c:v>
                </c:pt>
                <c:pt idx="16">
                  <c:v>212</c:v>
                </c:pt>
                <c:pt idx="17">
                  <c:v>237</c:v>
                </c:pt>
                <c:pt idx="18">
                  <c:v>252</c:v>
                </c:pt>
                <c:pt idx="19">
                  <c:v>258</c:v>
                </c:pt>
                <c:pt idx="20">
                  <c:v>276</c:v>
                </c:pt>
                <c:pt idx="21">
                  <c:v>294</c:v>
                </c:pt>
                <c:pt idx="22">
                  <c:v>309</c:v>
                </c:pt>
                <c:pt idx="23">
                  <c:v>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4</c:v>
                </c:pt>
                <c:pt idx="1">
                  <c:v>8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53</c:v>
                </c:pt>
                <c:pt idx="6">
                  <c:v>61</c:v>
                </c:pt>
                <c:pt idx="7">
                  <c:v>79</c:v>
                </c:pt>
                <c:pt idx="8">
                  <c:v>94</c:v>
                </c:pt>
                <c:pt idx="9">
                  <c:v>104</c:v>
                </c:pt>
                <c:pt idx="10">
                  <c:v>119</c:v>
                </c:pt>
                <c:pt idx="11">
                  <c:v>119</c:v>
                </c:pt>
                <c:pt idx="12">
                  <c:v>139</c:v>
                </c:pt>
                <c:pt idx="13">
                  <c:v>151</c:v>
                </c:pt>
                <c:pt idx="14">
                  <c:v>151</c:v>
                </c:pt>
                <c:pt idx="15">
                  <c:v>163</c:v>
                </c:pt>
                <c:pt idx="16">
                  <c:v>165</c:v>
                </c:pt>
                <c:pt idx="17">
                  <c:v>173</c:v>
                </c:pt>
                <c:pt idx="18">
                  <c:v>192</c:v>
                </c:pt>
                <c:pt idx="19">
                  <c:v>210</c:v>
                </c:pt>
                <c:pt idx="20">
                  <c:v>214</c:v>
                </c:pt>
                <c:pt idx="21">
                  <c:v>226</c:v>
                </c:pt>
                <c:pt idx="22">
                  <c:v>230</c:v>
                </c:pt>
                <c:pt idx="23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25</c:v>
                </c:pt>
                <c:pt idx="4">
                  <c:v>31</c:v>
                </c:pt>
                <c:pt idx="5">
                  <c:v>41</c:v>
                </c:pt>
                <c:pt idx="6">
                  <c:v>53</c:v>
                </c:pt>
                <c:pt idx="7">
                  <c:v>63</c:v>
                </c:pt>
                <c:pt idx="8">
                  <c:v>71</c:v>
                </c:pt>
                <c:pt idx="9">
                  <c:v>79</c:v>
                </c:pt>
                <c:pt idx="10">
                  <c:v>91</c:v>
                </c:pt>
                <c:pt idx="11">
                  <c:v>103</c:v>
                </c:pt>
                <c:pt idx="12">
                  <c:v>109</c:v>
                </c:pt>
                <c:pt idx="13">
                  <c:v>109</c:v>
                </c:pt>
                <c:pt idx="14">
                  <c:v>109</c:v>
                </c:pt>
                <c:pt idx="15">
                  <c:v>117</c:v>
                </c:pt>
                <c:pt idx="16">
                  <c:v>121</c:v>
                </c:pt>
                <c:pt idx="17">
                  <c:v>125</c:v>
                </c:pt>
                <c:pt idx="18">
                  <c:v>142</c:v>
                </c:pt>
                <c:pt idx="19">
                  <c:v>146</c:v>
                </c:pt>
                <c:pt idx="20">
                  <c:v>148</c:v>
                </c:pt>
                <c:pt idx="21">
                  <c:v>152</c:v>
                </c:pt>
                <c:pt idx="22">
                  <c:v>152</c:v>
                </c:pt>
                <c:pt idx="23">
                  <c:v>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12</c:v>
                </c:pt>
                <c:pt idx="1">
                  <c:v>22</c:v>
                </c:pt>
                <c:pt idx="2">
                  <c:v>30</c:v>
                </c:pt>
                <c:pt idx="3">
                  <c:v>30</c:v>
                </c:pt>
                <c:pt idx="4">
                  <c:v>38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64</c:v>
                </c:pt>
                <c:pt idx="14">
                  <c:v>64</c:v>
                </c:pt>
                <c:pt idx="15">
                  <c:v>66</c:v>
                </c:pt>
                <c:pt idx="16">
                  <c:v>78</c:v>
                </c:pt>
                <c:pt idx="17">
                  <c:v>88</c:v>
                </c:pt>
                <c:pt idx="18">
                  <c:v>89</c:v>
                </c:pt>
                <c:pt idx="19">
                  <c:v>97</c:v>
                </c:pt>
                <c:pt idx="20">
                  <c:v>122</c:v>
                </c:pt>
                <c:pt idx="21">
                  <c:v>137</c:v>
                </c:pt>
                <c:pt idx="22">
                  <c:v>150</c:v>
                </c:pt>
                <c:pt idx="23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10</c:v>
                </c:pt>
                <c:pt idx="1">
                  <c:v>16</c:v>
                </c:pt>
                <c:pt idx="2">
                  <c:v>18</c:v>
                </c:pt>
                <c:pt idx="3">
                  <c:v>18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42</c:v>
                </c:pt>
                <c:pt idx="8">
                  <c:v>42</c:v>
                </c:pt>
                <c:pt idx="9">
                  <c:v>42</c:v>
                </c:pt>
                <c:pt idx="10">
                  <c:v>42</c:v>
                </c:pt>
                <c:pt idx="11">
                  <c:v>46</c:v>
                </c:pt>
                <c:pt idx="12">
                  <c:v>54</c:v>
                </c:pt>
                <c:pt idx="13">
                  <c:v>54</c:v>
                </c:pt>
                <c:pt idx="14">
                  <c:v>64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7</c:v>
                </c:pt>
                <c:pt idx="6">
                  <c:v>11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31</c:v>
                </c:pt>
                <c:pt idx="17">
                  <c:v>32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48</c:v>
                </c:pt>
                <c:pt idx="22">
                  <c:v>64</c:v>
                </c:pt>
                <c:pt idx="23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15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22</c:v>
                </c:pt>
                <c:pt idx="13">
                  <c:v>22</c:v>
                </c:pt>
                <c:pt idx="14">
                  <c:v>37</c:v>
                </c:pt>
                <c:pt idx="15">
                  <c:v>38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43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16</c:v>
                </c:pt>
                <c:pt idx="9">
                  <c:v>20</c:v>
                </c:pt>
                <c:pt idx="10">
                  <c:v>22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41</c:v>
                </c:pt>
                <c:pt idx="19">
                  <c:v>41</c:v>
                </c:pt>
                <c:pt idx="20">
                  <c:v>43</c:v>
                </c:pt>
                <c:pt idx="21">
                  <c:v>49</c:v>
                </c:pt>
                <c:pt idx="22">
                  <c:v>49</c:v>
                </c:pt>
                <c:pt idx="23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8</c:v>
                </c:pt>
                <c:pt idx="10">
                  <c:v>14</c:v>
                </c:pt>
                <c:pt idx="11">
                  <c:v>16</c:v>
                </c:pt>
                <c:pt idx="12">
                  <c:v>16</c:v>
                </c:pt>
                <c:pt idx="13">
                  <c:v>26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40</c:v>
                </c:pt>
                <c:pt idx="21">
                  <c:v>40</c:v>
                </c:pt>
                <c:pt idx="22">
                  <c:v>48</c:v>
                </c:pt>
                <c:pt idx="23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  <c:pt idx="18">
                  <c:v>20</c:v>
                </c:pt>
                <c:pt idx="19">
                  <c:v>32</c:v>
                </c:pt>
                <c:pt idx="20">
                  <c:v>40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12</c:v>
                </c:pt>
                <c:pt idx="11">
                  <c:v>12</c:v>
                </c:pt>
                <c:pt idx="12">
                  <c:v>16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36</c:v>
                </c:pt>
                <c:pt idx="21">
                  <c:v>36</c:v>
                </c:pt>
                <c:pt idx="22">
                  <c:v>38</c:v>
                </c:pt>
                <c:pt idx="2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12</c:v>
                </c:pt>
                <c:pt idx="15">
                  <c:v>12</c:v>
                </c:pt>
                <c:pt idx="16">
                  <c:v>20</c:v>
                </c:pt>
                <c:pt idx="17">
                  <c:v>20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33</c:v>
                </c:pt>
                <c:pt idx="23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20</c:v>
                </c:pt>
                <c:pt idx="8">
                  <c:v>20</c:v>
                </c:pt>
                <c:pt idx="9">
                  <c:v>22</c:v>
                </c:pt>
                <c:pt idx="10">
                  <c:v>23</c:v>
                </c:pt>
                <c:pt idx="11">
                  <c:v>23</c:v>
                </c:pt>
                <c:pt idx="12">
                  <c:v>27</c:v>
                </c:pt>
                <c:pt idx="13">
                  <c:v>27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30</c:v>
                </c:pt>
                <c:pt idx="20">
                  <c:v>30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20</c:v>
                </c:pt>
                <c:pt idx="12">
                  <c:v>20</c:v>
                </c:pt>
                <c:pt idx="13">
                  <c:v>26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14</c:v>
                </c:pt>
                <c:pt idx="14">
                  <c:v>14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Jack Doohan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383</c:v>
                </c:pt>
                <c:pt idx="1">
                  <c:v>383</c:v>
                </c:pt>
                <c:pt idx="2">
                  <c:v>383</c:v>
                </c:pt>
                <c:pt idx="3">
                  <c:v>383</c:v>
                </c:pt>
                <c:pt idx="4">
                  <c:v>383</c:v>
                </c:pt>
                <c:pt idx="5">
                  <c:v>383</c:v>
                </c:pt>
                <c:pt idx="6">
                  <c:v>383</c:v>
                </c:pt>
                <c:pt idx="7">
                  <c:v>383</c:v>
                </c:pt>
                <c:pt idx="8">
                  <c:v>383</c:v>
                </c:pt>
                <c:pt idx="9">
                  <c:v>383</c:v>
                </c:pt>
                <c:pt idx="10">
                  <c:v>383</c:v>
                </c:pt>
                <c:pt idx="11">
                  <c:v>383</c:v>
                </c:pt>
                <c:pt idx="12">
                  <c:v>383</c:v>
                </c:pt>
                <c:pt idx="13">
                  <c:v>383</c:v>
                </c:pt>
                <c:pt idx="14">
                  <c:v>383</c:v>
                </c:pt>
                <c:pt idx="15">
                  <c:v>383</c:v>
                </c:pt>
                <c:pt idx="16">
                  <c:v>383</c:v>
                </c:pt>
                <c:pt idx="17">
                  <c:v>383</c:v>
                </c:pt>
                <c:pt idx="18">
                  <c:v>383</c:v>
                </c:pt>
                <c:pt idx="19">
                  <c:v>383</c:v>
                </c:pt>
                <c:pt idx="20">
                  <c:v>383</c:v>
                </c:pt>
                <c:pt idx="21">
                  <c:v>383</c:v>
                </c:pt>
                <c:pt idx="22">
                  <c:v>383</c:v>
                </c:pt>
                <c:pt idx="23">
                  <c:v>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8.2329861111111111E-2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McLaren 🏆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27</c:v>
                </c:pt>
                <c:pt idx="1">
                  <c:v>78</c:v>
                </c:pt>
                <c:pt idx="2">
                  <c:v>111</c:v>
                </c:pt>
                <c:pt idx="3">
                  <c:v>151</c:v>
                </c:pt>
                <c:pt idx="4">
                  <c:v>188</c:v>
                </c:pt>
                <c:pt idx="5">
                  <c:v>246</c:v>
                </c:pt>
                <c:pt idx="6">
                  <c:v>279</c:v>
                </c:pt>
                <c:pt idx="7">
                  <c:v>319</c:v>
                </c:pt>
                <c:pt idx="8">
                  <c:v>362</c:v>
                </c:pt>
                <c:pt idx="9">
                  <c:v>374</c:v>
                </c:pt>
                <c:pt idx="10">
                  <c:v>417</c:v>
                </c:pt>
                <c:pt idx="11">
                  <c:v>460</c:v>
                </c:pt>
                <c:pt idx="12">
                  <c:v>516</c:v>
                </c:pt>
                <c:pt idx="13">
                  <c:v>559</c:v>
                </c:pt>
                <c:pt idx="14">
                  <c:v>584</c:v>
                </c:pt>
                <c:pt idx="15">
                  <c:v>617</c:v>
                </c:pt>
                <c:pt idx="16">
                  <c:v>623</c:v>
                </c:pt>
                <c:pt idx="17">
                  <c:v>650</c:v>
                </c:pt>
                <c:pt idx="18">
                  <c:v>678</c:v>
                </c:pt>
                <c:pt idx="19">
                  <c:v>713</c:v>
                </c:pt>
                <c:pt idx="20">
                  <c:v>756</c:v>
                </c:pt>
                <c:pt idx="21">
                  <c:v>756</c:v>
                </c:pt>
                <c:pt idx="22">
                  <c:v>800</c:v>
                </c:pt>
                <c:pt idx="23">
                  <c:v>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57</c:v>
                </c:pt>
                <c:pt idx="2">
                  <c:v>75</c:v>
                </c:pt>
                <c:pt idx="3">
                  <c:v>93</c:v>
                </c:pt>
                <c:pt idx="4">
                  <c:v>111</c:v>
                </c:pt>
                <c:pt idx="5">
                  <c:v>141</c:v>
                </c:pt>
                <c:pt idx="6">
                  <c:v>147</c:v>
                </c:pt>
                <c:pt idx="7">
                  <c:v>147</c:v>
                </c:pt>
                <c:pt idx="8">
                  <c:v>159</c:v>
                </c:pt>
                <c:pt idx="9">
                  <c:v>199</c:v>
                </c:pt>
                <c:pt idx="10">
                  <c:v>209</c:v>
                </c:pt>
                <c:pt idx="11">
                  <c:v>210</c:v>
                </c:pt>
                <c:pt idx="12">
                  <c:v>220</c:v>
                </c:pt>
                <c:pt idx="13">
                  <c:v>236</c:v>
                </c:pt>
                <c:pt idx="14">
                  <c:v>248</c:v>
                </c:pt>
                <c:pt idx="15">
                  <c:v>260</c:v>
                </c:pt>
                <c:pt idx="16">
                  <c:v>290</c:v>
                </c:pt>
                <c:pt idx="17">
                  <c:v>325</c:v>
                </c:pt>
                <c:pt idx="18">
                  <c:v>341</c:v>
                </c:pt>
                <c:pt idx="19">
                  <c:v>355</c:v>
                </c:pt>
                <c:pt idx="20">
                  <c:v>398</c:v>
                </c:pt>
                <c:pt idx="21">
                  <c:v>431</c:v>
                </c:pt>
                <c:pt idx="22">
                  <c:v>459</c:v>
                </c:pt>
                <c:pt idx="23">
                  <c:v>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18</c:v>
                </c:pt>
                <c:pt idx="1">
                  <c:v>39</c:v>
                </c:pt>
                <c:pt idx="2">
                  <c:v>64</c:v>
                </c:pt>
                <c:pt idx="3">
                  <c:v>74</c:v>
                </c:pt>
                <c:pt idx="4">
                  <c:v>92</c:v>
                </c:pt>
                <c:pt idx="5">
                  <c:v>108</c:v>
                </c:pt>
                <c:pt idx="6">
                  <c:v>134</c:v>
                </c:pt>
                <c:pt idx="7">
                  <c:v>146</c:v>
                </c:pt>
                <c:pt idx="8">
                  <c:v>147</c:v>
                </c:pt>
                <c:pt idx="9">
                  <c:v>165</c:v>
                </c:pt>
                <c:pt idx="10">
                  <c:v>165</c:v>
                </c:pt>
                <c:pt idx="11">
                  <c:v>175</c:v>
                </c:pt>
                <c:pt idx="12">
                  <c:v>195</c:v>
                </c:pt>
                <c:pt idx="13">
                  <c:v>197</c:v>
                </c:pt>
                <c:pt idx="14">
                  <c:v>217</c:v>
                </c:pt>
                <c:pt idx="15">
                  <c:v>242</c:v>
                </c:pt>
                <c:pt idx="16">
                  <c:v>275</c:v>
                </c:pt>
                <c:pt idx="17">
                  <c:v>293</c:v>
                </c:pt>
                <c:pt idx="18">
                  <c:v>334</c:v>
                </c:pt>
                <c:pt idx="19">
                  <c:v>349</c:v>
                </c:pt>
                <c:pt idx="20">
                  <c:v>369</c:v>
                </c:pt>
                <c:pt idx="21">
                  <c:v>394</c:v>
                </c:pt>
                <c:pt idx="22">
                  <c:v>429</c:v>
                </c:pt>
                <c:pt idx="23">
                  <c:v>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5</c:v>
                </c:pt>
                <c:pt idx="1">
                  <c:v>17</c:v>
                </c:pt>
                <c:pt idx="2">
                  <c:v>35</c:v>
                </c:pt>
                <c:pt idx="3">
                  <c:v>57</c:v>
                </c:pt>
                <c:pt idx="4">
                  <c:v>78</c:v>
                </c:pt>
                <c:pt idx="5">
                  <c:v>94</c:v>
                </c:pt>
                <c:pt idx="6">
                  <c:v>114</c:v>
                </c:pt>
                <c:pt idx="7">
                  <c:v>142</c:v>
                </c:pt>
                <c:pt idx="8">
                  <c:v>165</c:v>
                </c:pt>
                <c:pt idx="9">
                  <c:v>183</c:v>
                </c:pt>
                <c:pt idx="10">
                  <c:v>210</c:v>
                </c:pt>
                <c:pt idx="11">
                  <c:v>222</c:v>
                </c:pt>
                <c:pt idx="12">
                  <c:v>248</c:v>
                </c:pt>
                <c:pt idx="13">
                  <c:v>260</c:v>
                </c:pt>
                <c:pt idx="14">
                  <c:v>260</c:v>
                </c:pt>
                <c:pt idx="15">
                  <c:v>280</c:v>
                </c:pt>
                <c:pt idx="16">
                  <c:v>286</c:v>
                </c:pt>
                <c:pt idx="17">
                  <c:v>298</c:v>
                </c:pt>
                <c:pt idx="18">
                  <c:v>334</c:v>
                </c:pt>
                <c:pt idx="19">
                  <c:v>356</c:v>
                </c:pt>
                <c:pt idx="20">
                  <c:v>362</c:v>
                </c:pt>
                <c:pt idx="21">
                  <c:v>378</c:v>
                </c:pt>
                <c:pt idx="22">
                  <c:v>382</c:v>
                </c:pt>
                <c:pt idx="23">
                  <c:v>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10</c:v>
                </c:pt>
                <c:pt idx="1">
                  <c:v>17</c:v>
                </c:pt>
                <c:pt idx="2">
                  <c:v>19</c:v>
                </c:pt>
                <c:pt idx="3">
                  <c:v>19</c:v>
                </c:pt>
                <c:pt idx="4">
                  <c:v>25</c:v>
                </c:pt>
                <c:pt idx="5">
                  <c:v>37</c:v>
                </c:pt>
                <c:pt idx="6">
                  <c:v>51</c:v>
                </c:pt>
                <c:pt idx="7">
                  <c:v>54</c:v>
                </c:pt>
                <c:pt idx="8">
                  <c:v>54</c:v>
                </c:pt>
                <c:pt idx="9">
                  <c:v>55</c:v>
                </c:pt>
                <c:pt idx="10">
                  <c:v>55</c:v>
                </c:pt>
                <c:pt idx="11">
                  <c:v>59</c:v>
                </c:pt>
                <c:pt idx="12">
                  <c:v>70</c:v>
                </c:pt>
                <c:pt idx="13">
                  <c:v>70</c:v>
                </c:pt>
                <c:pt idx="14">
                  <c:v>80</c:v>
                </c:pt>
                <c:pt idx="15">
                  <c:v>86</c:v>
                </c:pt>
                <c:pt idx="16">
                  <c:v>101</c:v>
                </c:pt>
                <c:pt idx="17">
                  <c:v>102</c:v>
                </c:pt>
                <c:pt idx="18">
                  <c:v>111</c:v>
                </c:pt>
                <c:pt idx="19">
                  <c:v>111</c:v>
                </c:pt>
                <c:pt idx="20">
                  <c:v>111</c:v>
                </c:pt>
                <c:pt idx="21">
                  <c:v>121</c:v>
                </c:pt>
                <c:pt idx="22">
                  <c:v>137</c:v>
                </c:pt>
                <c:pt idx="23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19</c:v>
                </c:pt>
                <c:pt idx="8">
                  <c:v>25</c:v>
                </c:pt>
                <c:pt idx="9">
                  <c:v>25</c:v>
                </c:pt>
                <c:pt idx="10">
                  <c:v>33</c:v>
                </c:pt>
                <c:pt idx="11">
                  <c:v>33</c:v>
                </c:pt>
                <c:pt idx="12">
                  <c:v>38</c:v>
                </c:pt>
                <c:pt idx="13">
                  <c:v>42</c:v>
                </c:pt>
                <c:pt idx="14">
                  <c:v>57</c:v>
                </c:pt>
                <c:pt idx="15">
                  <c:v>58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79</c:v>
                </c:pt>
                <c:pt idx="21">
                  <c:v>87</c:v>
                </c:pt>
                <c:pt idx="22">
                  <c:v>89</c:v>
                </c:pt>
                <c:pt idx="2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16</c:v>
                </c:pt>
                <c:pt idx="9">
                  <c:v>22</c:v>
                </c:pt>
                <c:pt idx="10">
                  <c:v>28</c:v>
                </c:pt>
                <c:pt idx="11">
                  <c:v>36</c:v>
                </c:pt>
                <c:pt idx="12">
                  <c:v>36</c:v>
                </c:pt>
                <c:pt idx="13">
                  <c:v>52</c:v>
                </c:pt>
                <c:pt idx="14">
                  <c:v>62</c:v>
                </c:pt>
                <c:pt idx="15">
                  <c:v>62</c:v>
                </c:pt>
                <c:pt idx="16">
                  <c:v>62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72</c:v>
                </c:pt>
                <c:pt idx="21">
                  <c:v>72</c:v>
                </c:pt>
                <c:pt idx="22">
                  <c:v>80</c:v>
                </c:pt>
                <c:pt idx="2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26</c:v>
                </c:pt>
                <c:pt idx="8">
                  <c:v>26</c:v>
                </c:pt>
                <c:pt idx="9">
                  <c:v>28</c:v>
                </c:pt>
                <c:pt idx="10">
                  <c:v>29</c:v>
                </c:pt>
                <c:pt idx="11">
                  <c:v>29</c:v>
                </c:pt>
                <c:pt idx="12">
                  <c:v>35</c:v>
                </c:pt>
                <c:pt idx="13">
                  <c:v>35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46</c:v>
                </c:pt>
                <c:pt idx="18">
                  <c:v>48</c:v>
                </c:pt>
                <c:pt idx="19">
                  <c:v>62</c:v>
                </c:pt>
                <c:pt idx="20">
                  <c:v>70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Kick Sauber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16</c:v>
                </c:pt>
                <c:pt idx="9">
                  <c:v>20</c:v>
                </c:pt>
                <c:pt idx="10">
                  <c:v>26</c:v>
                </c:pt>
                <c:pt idx="11">
                  <c:v>41</c:v>
                </c:pt>
                <c:pt idx="12">
                  <c:v>43</c:v>
                </c:pt>
                <c:pt idx="13">
                  <c:v>51</c:v>
                </c:pt>
                <c:pt idx="14">
                  <c:v>51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59</c:v>
                </c:pt>
                <c:pt idx="19">
                  <c:v>60</c:v>
                </c:pt>
                <c:pt idx="20">
                  <c:v>62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19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757</c:v>
                </c:pt>
                <c:pt idx="1">
                  <c:v>757</c:v>
                </c:pt>
                <c:pt idx="2">
                  <c:v>757</c:v>
                </c:pt>
                <c:pt idx="3">
                  <c:v>757</c:v>
                </c:pt>
                <c:pt idx="4">
                  <c:v>757</c:v>
                </c:pt>
                <c:pt idx="5">
                  <c:v>757</c:v>
                </c:pt>
                <c:pt idx="6">
                  <c:v>757</c:v>
                </c:pt>
                <c:pt idx="7">
                  <c:v>757</c:v>
                </c:pt>
                <c:pt idx="8">
                  <c:v>757</c:v>
                </c:pt>
                <c:pt idx="9">
                  <c:v>757</c:v>
                </c:pt>
                <c:pt idx="10">
                  <c:v>757</c:v>
                </c:pt>
                <c:pt idx="11">
                  <c:v>757</c:v>
                </c:pt>
                <c:pt idx="12">
                  <c:v>757</c:v>
                </c:pt>
                <c:pt idx="13">
                  <c:v>757</c:v>
                </c:pt>
                <c:pt idx="14">
                  <c:v>757</c:v>
                </c:pt>
                <c:pt idx="15">
                  <c:v>757</c:v>
                </c:pt>
                <c:pt idx="16">
                  <c:v>757</c:v>
                </c:pt>
                <c:pt idx="17">
                  <c:v>757</c:v>
                </c:pt>
                <c:pt idx="18">
                  <c:v>757</c:v>
                </c:pt>
                <c:pt idx="19">
                  <c:v>757</c:v>
                </c:pt>
                <c:pt idx="20">
                  <c:v>757</c:v>
                </c:pt>
                <c:pt idx="21">
                  <c:v>757</c:v>
                </c:pt>
                <c:pt idx="22">
                  <c:v>757</c:v>
                </c:pt>
                <c:pt idx="23">
                  <c:v>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jpe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333375</xdr:colOff>
      <xdr:row>3</xdr:row>
      <xdr:rowOff>76200</xdr:rowOff>
    </xdr:from>
    <xdr:to>
      <xdr:col>7</xdr:col>
      <xdr:colOff>114300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10</xdr:col>
      <xdr:colOff>209550</xdr:colOff>
      <xdr:row>3</xdr:row>
      <xdr:rowOff>85725</xdr:rowOff>
    </xdr:from>
    <xdr:to>
      <xdr:col>11</xdr:col>
      <xdr:colOff>171450</xdr:colOff>
      <xdr:row>4</xdr:row>
      <xdr:rowOff>19050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24525" y="571500"/>
          <a:ext cx="209550" cy="142875"/>
        </a:xfrm>
        <a:prstGeom prst="rect">
          <a:avLst/>
        </a:prstGeom>
      </xdr:spPr>
    </xdr:pic>
    <xdr:clientData/>
  </xdr:twoCellAnchor>
  <xdr:twoCellAnchor>
    <xdr:from>
      <xdr:col>4</xdr:col>
      <xdr:colOff>933450</xdr:colOff>
      <xdr:row>3</xdr:row>
      <xdr:rowOff>76200</xdr:rowOff>
    </xdr:from>
    <xdr:to>
      <xdr:col>5</xdr:col>
      <xdr:colOff>28575</xdr:colOff>
      <xdr:row>4</xdr:row>
      <xdr:rowOff>9525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66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28575</xdr:colOff>
      <xdr:row>3</xdr:row>
      <xdr:rowOff>114300</xdr:rowOff>
    </xdr:from>
    <xdr:to>
      <xdr:col>26</xdr:col>
      <xdr:colOff>238125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5950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8</xdr:col>
      <xdr:colOff>171450</xdr:colOff>
      <xdr:row>3</xdr:row>
      <xdr:rowOff>85725</xdr:rowOff>
    </xdr:from>
    <xdr:to>
      <xdr:col>9</xdr:col>
      <xdr:colOff>19050</xdr:colOff>
      <xdr:row>4</xdr:row>
      <xdr:rowOff>19050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076825" y="57150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9</xdr:col>
      <xdr:colOff>133350</xdr:colOff>
      <xdr:row>3</xdr:row>
      <xdr:rowOff>104775</xdr:rowOff>
    </xdr:from>
    <xdr:to>
      <xdr:col>10</xdr:col>
      <xdr:colOff>95250</xdr:colOff>
      <xdr:row>4</xdr:row>
      <xdr:rowOff>0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0675" y="590550"/>
          <a:ext cx="209550" cy="104775"/>
        </a:xfrm>
        <a:prstGeom prst="rect">
          <a:avLst/>
        </a:prstGeom>
      </xdr:spPr>
    </xdr:pic>
    <xdr:clientData/>
  </xdr:twoCellAnchor>
  <xdr:twoCellAnchor>
    <xdr:from>
      <xdr:col>14</xdr:col>
      <xdr:colOff>219075</xdr:colOff>
      <xdr:row>3</xdr:row>
      <xdr:rowOff>95250</xdr:rowOff>
    </xdr:from>
    <xdr:to>
      <xdr:col>15</xdr:col>
      <xdr:colOff>180975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4650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3</xdr:row>
      <xdr:rowOff>85725</xdr:rowOff>
    </xdr:from>
    <xdr:to>
      <xdr:col>14</xdr:col>
      <xdr:colOff>85725</xdr:colOff>
      <xdr:row>4</xdr:row>
      <xdr:rowOff>19050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228600</xdr:colOff>
      <xdr:row>3</xdr:row>
      <xdr:rowOff>114300</xdr:rowOff>
    </xdr:from>
    <xdr:to>
      <xdr:col>19</xdr:col>
      <xdr:colOff>189750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77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57150</xdr:colOff>
      <xdr:row>3</xdr:row>
      <xdr:rowOff>104775</xdr:rowOff>
    </xdr:from>
    <xdr:to>
      <xdr:col>24</xdr:col>
      <xdr:colOff>18300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200025</xdr:colOff>
      <xdr:row>3</xdr:row>
      <xdr:rowOff>95249</xdr:rowOff>
    </xdr:from>
    <xdr:to>
      <xdr:col>22</xdr:col>
      <xdr:colOff>161175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0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266700</xdr:colOff>
      <xdr:row>3</xdr:row>
      <xdr:rowOff>104775</xdr:rowOff>
    </xdr:from>
    <xdr:to>
      <xdr:col>8</xdr:col>
      <xdr:colOff>47625</xdr:colOff>
      <xdr:row>4</xdr:row>
      <xdr:rowOff>0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3450" y="5905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47625</xdr:colOff>
      <xdr:row>3</xdr:row>
      <xdr:rowOff>95250</xdr:rowOff>
    </xdr:from>
    <xdr:to>
      <xdr:col>13</xdr:col>
      <xdr:colOff>8775</xdr:colOff>
      <xdr:row>3</xdr:row>
      <xdr:rowOff>199650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57900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66675</xdr:colOff>
      <xdr:row>3</xdr:row>
      <xdr:rowOff>104775</xdr:rowOff>
    </xdr:from>
    <xdr:to>
      <xdr:col>17</xdr:col>
      <xdr:colOff>27825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6755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161925</xdr:colOff>
      <xdr:row>3</xdr:row>
      <xdr:rowOff>104775</xdr:rowOff>
    </xdr:from>
    <xdr:to>
      <xdr:col>18</xdr:col>
      <xdr:colOff>123825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0450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85725</xdr:colOff>
      <xdr:row>3</xdr:row>
      <xdr:rowOff>104775</xdr:rowOff>
    </xdr:from>
    <xdr:to>
      <xdr:col>21</xdr:col>
      <xdr:colOff>47625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7720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161925</xdr:colOff>
      <xdr:row>3</xdr:row>
      <xdr:rowOff>123825</xdr:rowOff>
    </xdr:from>
    <xdr:to>
      <xdr:col>25</xdr:col>
      <xdr:colOff>123825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609600"/>
          <a:ext cx="209550" cy="85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342899</xdr:colOff>
      <xdr:row>0</xdr:row>
      <xdr:rowOff>0</xdr:rowOff>
    </xdr:from>
    <xdr:to>
      <xdr:col>29</xdr:col>
      <xdr:colOff>285299</xdr:colOff>
      <xdr:row>22</xdr:row>
      <xdr:rowOff>109650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63699" y="0"/>
              <a:ext cx="3600000" cy="36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23</xdr:col>
      <xdr:colOff>379200</xdr:colOff>
      <xdr:row>44</xdr:row>
      <xdr:rowOff>75300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23</xdr:col>
      <xdr:colOff>333375</xdr:colOff>
      <xdr:row>0</xdr:row>
      <xdr:rowOff>0</xdr:rowOff>
    </xdr:from>
    <xdr:to>
      <xdr:col>29</xdr:col>
      <xdr:colOff>275775</xdr:colOff>
      <xdr:row>22</xdr:row>
      <xdr:rowOff>109650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54175" y="0"/>
              <a:ext cx="3600000" cy="367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19</xdr:row>
      <xdr:rowOff>28575</xdr:rowOff>
    </xdr:from>
    <xdr:to>
      <xdr:col>2</xdr:col>
      <xdr:colOff>238125</xdr:colOff>
      <xdr:row>19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19050</xdr:rowOff>
    </xdr:from>
    <xdr:to>
      <xdr:col>4</xdr:col>
      <xdr:colOff>238125</xdr:colOff>
      <xdr:row>19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28575</xdr:rowOff>
    </xdr:from>
    <xdr:to>
      <xdr:col>4</xdr:col>
      <xdr:colOff>238125</xdr:colOff>
      <xdr:row>21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19050</xdr:rowOff>
    </xdr:from>
    <xdr:to>
      <xdr:col>4</xdr:col>
      <xdr:colOff>238125</xdr:colOff>
      <xdr:row>24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28575</xdr:rowOff>
    </xdr:from>
    <xdr:to>
      <xdr:col>4</xdr:col>
      <xdr:colOff>238125</xdr:colOff>
      <xdr:row>25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19050</xdr:rowOff>
    </xdr:from>
    <xdr:to>
      <xdr:col>4</xdr:col>
      <xdr:colOff>238125</xdr:colOff>
      <xdr:row>27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28575</xdr:rowOff>
    </xdr:from>
    <xdr:to>
      <xdr:col>4</xdr:col>
      <xdr:colOff>238125</xdr:colOff>
      <xdr:row>29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38100</xdr:rowOff>
    </xdr:from>
    <xdr:to>
      <xdr:col>4</xdr:col>
      <xdr:colOff>238125</xdr:colOff>
      <xdr:row>32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19050</xdr:rowOff>
    </xdr:from>
    <xdr:to>
      <xdr:col>2</xdr:col>
      <xdr:colOff>238125</xdr:colOff>
      <xdr:row>32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19050</xdr:rowOff>
    </xdr:from>
    <xdr:to>
      <xdr:col>4</xdr:col>
      <xdr:colOff>238125</xdr:colOff>
      <xdr:row>32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28575</xdr:rowOff>
    </xdr:from>
    <xdr:to>
      <xdr:col>4</xdr:col>
      <xdr:colOff>238125</xdr:colOff>
      <xdr:row>34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28575</xdr:rowOff>
    </xdr:from>
    <xdr:to>
      <xdr:col>2</xdr:col>
      <xdr:colOff>238125</xdr:colOff>
      <xdr:row>35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38100</xdr:rowOff>
    </xdr:from>
    <xdr:to>
      <xdr:col>4</xdr:col>
      <xdr:colOff>238125</xdr:colOff>
      <xdr:row>38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38</xdr:row>
      <xdr:rowOff>38100</xdr:rowOff>
    </xdr:from>
    <xdr:to>
      <xdr:col>4</xdr:col>
      <xdr:colOff>228600</xdr:colOff>
      <xdr:row>39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28575</xdr:rowOff>
    </xdr:from>
    <xdr:to>
      <xdr:col>4</xdr:col>
      <xdr:colOff>228600</xdr:colOff>
      <xdr:row>39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19050</xdr:rowOff>
    </xdr:from>
    <xdr:to>
      <xdr:col>2</xdr:col>
      <xdr:colOff>238125</xdr:colOff>
      <xdr:row>41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28575</xdr:rowOff>
    </xdr:from>
    <xdr:to>
      <xdr:col>2</xdr:col>
      <xdr:colOff>238125</xdr:colOff>
      <xdr:row>42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38100</xdr:rowOff>
    </xdr:from>
    <xdr:to>
      <xdr:col>2</xdr:col>
      <xdr:colOff>238125</xdr:colOff>
      <xdr:row>44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44</xdr:row>
      <xdr:rowOff>28575</xdr:rowOff>
    </xdr:from>
    <xdr:to>
      <xdr:col>3</xdr:col>
      <xdr:colOff>0</xdr:colOff>
      <xdr:row>44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45</xdr:row>
      <xdr:rowOff>28575</xdr:rowOff>
    </xdr:from>
    <xdr:to>
      <xdr:col>2</xdr:col>
      <xdr:colOff>238125</xdr:colOff>
      <xdr:row>45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46</xdr:row>
      <xdr:rowOff>28575</xdr:rowOff>
    </xdr:from>
    <xdr:to>
      <xdr:col>3</xdr:col>
      <xdr:colOff>0</xdr:colOff>
      <xdr:row>46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38100</xdr:rowOff>
    </xdr:from>
    <xdr:to>
      <xdr:col>4</xdr:col>
      <xdr:colOff>228600</xdr:colOff>
      <xdr:row>47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47</xdr:row>
      <xdr:rowOff>19050</xdr:rowOff>
    </xdr:from>
    <xdr:to>
      <xdr:col>2</xdr:col>
      <xdr:colOff>238125</xdr:colOff>
      <xdr:row>47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28575</xdr:rowOff>
    </xdr:from>
    <xdr:to>
      <xdr:col>4</xdr:col>
      <xdr:colOff>228600</xdr:colOff>
      <xdr:row>47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48</xdr:row>
      <xdr:rowOff>28575</xdr:rowOff>
    </xdr:from>
    <xdr:to>
      <xdr:col>2</xdr:col>
      <xdr:colOff>228600</xdr:colOff>
      <xdr:row>48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49</xdr:row>
      <xdr:rowOff>28575</xdr:rowOff>
    </xdr:from>
    <xdr:to>
      <xdr:col>2</xdr:col>
      <xdr:colOff>238125</xdr:colOff>
      <xdr:row>49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38100</xdr:rowOff>
    </xdr:from>
    <xdr:to>
      <xdr:col>4</xdr:col>
      <xdr:colOff>228600</xdr:colOff>
      <xdr:row>50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50</xdr:row>
      <xdr:rowOff>28575</xdr:rowOff>
    </xdr:from>
    <xdr:to>
      <xdr:col>2</xdr:col>
      <xdr:colOff>228600</xdr:colOff>
      <xdr:row>50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28575</xdr:rowOff>
    </xdr:from>
    <xdr:to>
      <xdr:col>4</xdr:col>
      <xdr:colOff>228600</xdr:colOff>
      <xdr:row>50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53</xdr:row>
      <xdr:rowOff>28575</xdr:rowOff>
    </xdr:from>
    <xdr:to>
      <xdr:col>2</xdr:col>
      <xdr:colOff>238125</xdr:colOff>
      <xdr:row>53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38100</xdr:rowOff>
    </xdr:from>
    <xdr:to>
      <xdr:col>4</xdr:col>
      <xdr:colOff>228600</xdr:colOff>
      <xdr:row>54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54</xdr:row>
      <xdr:rowOff>28575</xdr:rowOff>
    </xdr:from>
    <xdr:to>
      <xdr:col>2</xdr:col>
      <xdr:colOff>228600</xdr:colOff>
      <xdr:row>54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55</xdr:row>
      <xdr:rowOff>38100</xdr:rowOff>
    </xdr:from>
    <xdr:to>
      <xdr:col>2</xdr:col>
      <xdr:colOff>238125</xdr:colOff>
      <xdr:row>56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28575</xdr:rowOff>
    </xdr:from>
    <xdr:to>
      <xdr:col>4</xdr:col>
      <xdr:colOff>228600</xdr:colOff>
      <xdr:row>55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56</xdr:row>
      <xdr:rowOff>38100</xdr:rowOff>
    </xdr:from>
    <xdr:to>
      <xdr:col>2</xdr:col>
      <xdr:colOff>228600</xdr:colOff>
      <xdr:row>57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38100</xdr:rowOff>
    </xdr:from>
    <xdr:to>
      <xdr:col>4</xdr:col>
      <xdr:colOff>228600</xdr:colOff>
      <xdr:row>58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58</xdr:row>
      <xdr:rowOff>28575</xdr:rowOff>
    </xdr:from>
    <xdr:to>
      <xdr:col>2</xdr:col>
      <xdr:colOff>238125</xdr:colOff>
      <xdr:row>58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28575</xdr:rowOff>
    </xdr:from>
    <xdr:to>
      <xdr:col>4</xdr:col>
      <xdr:colOff>228600</xdr:colOff>
      <xdr:row>59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38100</xdr:rowOff>
    </xdr:from>
    <xdr:to>
      <xdr:col>2</xdr:col>
      <xdr:colOff>238125</xdr:colOff>
      <xdr:row>61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62</xdr:row>
      <xdr:rowOff>38100</xdr:rowOff>
    </xdr:from>
    <xdr:to>
      <xdr:col>2</xdr:col>
      <xdr:colOff>228600</xdr:colOff>
      <xdr:row>63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38100</xdr:rowOff>
    </xdr:from>
    <xdr:to>
      <xdr:col>4</xdr:col>
      <xdr:colOff>228600</xdr:colOff>
      <xdr:row>63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28575</xdr:rowOff>
    </xdr:from>
    <xdr:to>
      <xdr:col>4</xdr:col>
      <xdr:colOff>228600</xdr:colOff>
      <xdr:row>63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28575</xdr:rowOff>
    </xdr:from>
    <xdr:to>
      <xdr:col>2</xdr:col>
      <xdr:colOff>228600</xdr:colOff>
      <xdr:row>64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38100</xdr:rowOff>
    </xdr:from>
    <xdr:to>
      <xdr:col>4</xdr:col>
      <xdr:colOff>228600</xdr:colOff>
      <xdr:row>65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65</xdr:row>
      <xdr:rowOff>38100</xdr:rowOff>
    </xdr:from>
    <xdr:to>
      <xdr:col>2</xdr:col>
      <xdr:colOff>238125</xdr:colOff>
      <xdr:row>66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28575</xdr:rowOff>
    </xdr:from>
    <xdr:to>
      <xdr:col>2</xdr:col>
      <xdr:colOff>238125</xdr:colOff>
      <xdr:row>67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28575</xdr:rowOff>
    </xdr:from>
    <xdr:to>
      <xdr:col>4</xdr:col>
      <xdr:colOff>228600</xdr:colOff>
      <xdr:row>68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38100</xdr:rowOff>
    </xdr:from>
    <xdr:to>
      <xdr:col>4</xdr:col>
      <xdr:colOff>228600</xdr:colOff>
      <xdr:row>72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28575</xdr:rowOff>
    </xdr:from>
    <xdr:to>
      <xdr:col>4</xdr:col>
      <xdr:colOff>228600</xdr:colOff>
      <xdr:row>74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19050</xdr:rowOff>
    </xdr:from>
    <xdr:to>
      <xdr:col>2</xdr:col>
      <xdr:colOff>238125</xdr:colOff>
      <xdr:row>74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75</xdr:row>
      <xdr:rowOff>28575</xdr:rowOff>
    </xdr:from>
    <xdr:to>
      <xdr:col>2</xdr:col>
      <xdr:colOff>228600</xdr:colOff>
      <xdr:row>76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76</xdr:row>
      <xdr:rowOff>28575</xdr:rowOff>
    </xdr:from>
    <xdr:to>
      <xdr:col>2</xdr:col>
      <xdr:colOff>238125</xdr:colOff>
      <xdr:row>77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19050</xdr:rowOff>
    </xdr:from>
    <xdr:to>
      <xdr:col>2</xdr:col>
      <xdr:colOff>238125</xdr:colOff>
      <xdr:row>77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18</xdr:row>
      <xdr:rowOff>28575</xdr:rowOff>
    </xdr:from>
    <xdr:to>
      <xdr:col>4</xdr:col>
      <xdr:colOff>238125</xdr:colOff>
      <xdr:row>18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19050</xdr:rowOff>
    </xdr:from>
    <xdr:to>
      <xdr:col>2</xdr:col>
      <xdr:colOff>238125</xdr:colOff>
      <xdr:row>18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28575</xdr:rowOff>
    </xdr:from>
    <xdr:to>
      <xdr:col>4</xdr:col>
      <xdr:colOff>228600</xdr:colOff>
      <xdr:row>17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19050</xdr:rowOff>
    </xdr:from>
    <xdr:to>
      <xdr:col>4</xdr:col>
      <xdr:colOff>228600</xdr:colOff>
      <xdr:row>16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9525</xdr:rowOff>
    </xdr:from>
    <xdr:to>
      <xdr:col>2</xdr:col>
      <xdr:colOff>238125</xdr:colOff>
      <xdr:row>14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14</xdr:row>
      <xdr:rowOff>9525</xdr:rowOff>
    </xdr:from>
    <xdr:to>
      <xdr:col>4</xdr:col>
      <xdr:colOff>228600</xdr:colOff>
      <xdr:row>14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12</xdr:row>
      <xdr:rowOff>19050</xdr:rowOff>
    </xdr:from>
    <xdr:to>
      <xdr:col>2</xdr:col>
      <xdr:colOff>238125</xdr:colOff>
      <xdr:row>12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12</xdr:row>
      <xdr:rowOff>9525</xdr:rowOff>
    </xdr:from>
    <xdr:to>
      <xdr:col>4</xdr:col>
      <xdr:colOff>238125</xdr:colOff>
      <xdr:row>12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7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3</xdr:row>
      <xdr:rowOff>19050</xdr:rowOff>
    </xdr:from>
    <xdr:to>
      <xdr:col>4</xdr:col>
      <xdr:colOff>238125</xdr:colOff>
      <xdr:row>3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6" name="Picture 77" descr="http://en.f1-live.com/f1/img/drapeau/drap_aut.gif">
          <a:extLst>
            <a:ext uri="{FF2B5EF4-FFF2-40B4-BE49-F238E27FC236}">
              <a16:creationId xmlns:a16="http://schemas.microsoft.com/office/drawing/2014/main" id="{4EE9D025-B24C-4F89-8454-DFFEF25BA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1133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3</xdr:row>
      <xdr:rowOff>38100</xdr:rowOff>
    </xdr:from>
    <xdr:to>
      <xdr:col>2</xdr:col>
      <xdr:colOff>218100</xdr:colOff>
      <xdr:row>3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2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104776</xdr:rowOff>
    </xdr:from>
    <xdr:to>
      <xdr:col>2</xdr:col>
      <xdr:colOff>218100</xdr:colOff>
      <xdr:row>4</xdr:row>
      <xdr:rowOff>219321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572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114300</xdr:rowOff>
    </xdr:from>
    <xdr:to>
      <xdr:col>7</xdr:col>
      <xdr:colOff>218100</xdr:colOff>
      <xdr:row>4</xdr:row>
      <xdr:rowOff>228845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752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6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6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>
      <filters>
        <filter val="Alexander Albon"/>
        <filter val="Carlos Sainz"/>
        <filter val="Charles Leclerc"/>
        <filter val="Esteban Ocon"/>
        <filter val="Fernando Alonso"/>
        <filter val="Franco Colapinto"/>
        <filter val="Gabriel Bortoleto"/>
        <filter val="George Russell"/>
        <filter val="Isack Hadjar"/>
        <filter val="Jack Doohan"/>
        <filter val="Kimi Antonelli"/>
        <filter val="Lance Stroll"/>
        <filter val="Lando Norris"/>
        <filter val="Lewis Hamilton"/>
        <filter val="Liam Lawson"/>
        <filter val="Max Verstappen"/>
        <filter val="Nico Hulkenberg"/>
        <filter val="Oliver Bearman"/>
        <filter val="Oscar Piastri"/>
        <filter val="Pierre Gasly"/>
        <filter val="Yuki Tsunoda"/>
        <filter val="🏆 Título"/>
      </filters>
    </filterColumn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2025'!B8</calculatedColumnFormula>
    </tableColumn>
    <tableColumn id="2" xr3:uid="{63F408D6-D6D8-42D1-AD59-0AB5F1AFF464}" name="Piloto">
      <calculatedColumnFormula>'Temporada 2025'!C8</calculatedColumnFormula>
    </tableColumn>
    <tableColumn id="3" xr3:uid="{75A066FB-7373-4002-AECC-19368883FCE7}" name="AUS">
      <calculatedColumnFormula>'Temporada 2025'!J8</calculatedColumnFormula>
    </tableColumn>
    <tableColumn id="4" xr3:uid="{087AC073-9BDF-4F4C-8B86-0182DE81300B}" name="CHI">
      <calculatedColumnFormula>C2+'Temporada 2025'!K8</calculatedColumnFormula>
    </tableColumn>
    <tableColumn id="5" xr3:uid="{6FF162B9-A2EA-4C91-9AA0-5A026430C6D3}" name="JAP">
      <calculatedColumnFormula>D2+'Temporada 2025'!L8</calculatedColumnFormula>
    </tableColumn>
    <tableColumn id="6" xr3:uid="{5A0128E3-C389-4CFE-B6BF-03A1E1677D94}" name="BAH">
      <calculatedColumnFormula>E2+'Temporada 2025'!M8</calculatedColumnFormula>
    </tableColumn>
    <tableColumn id="7" xr3:uid="{AB205D93-030A-482C-8D83-0F7DADA454D5}" name="SAL">
      <calculatedColumnFormula>F2+'Temporada 2025'!N8</calculatedColumnFormula>
    </tableColumn>
    <tableColumn id="8" xr3:uid="{5A104776-DB04-4CFD-9A65-2E9C58AA468A}" name="MIA">
      <calculatedColumnFormula>G2+'Temporada 2025'!O8</calculatedColumnFormula>
    </tableColumn>
    <tableColumn id="9" xr3:uid="{E8CE40A8-84C1-4A51-9B5F-89DC126DF3E1}" name="EMI">
      <calculatedColumnFormula>H2+'Temporada 2025'!P8</calculatedColumnFormula>
    </tableColumn>
    <tableColumn id="10" xr3:uid="{57FBB7B7-FC8B-410A-91FA-99A314EAACDF}" name="MON">
      <calculatedColumnFormula>I2+'Temporada 2025'!Q8</calculatedColumnFormula>
    </tableColumn>
    <tableColumn id="11" xr3:uid="{7126279F-2F0A-4A26-A85A-9AD7469B820F}" name="ESP">
      <calculatedColumnFormula>J2+'Temporada 2025'!R8</calculatedColumnFormula>
    </tableColumn>
    <tableColumn id="12" xr3:uid="{ADFEC467-6B91-432C-BF5C-A827702599AE}" name="CAN">
      <calculatedColumnFormula>K2+'Temporada 2025'!S8</calculatedColumnFormula>
    </tableColumn>
    <tableColumn id="13" xr3:uid="{86E93B11-7CEA-4A0F-9886-CD0909288EB5}" name="AUT">
      <calculatedColumnFormula>L2+'Temporada 2025'!T8</calculatedColumnFormula>
    </tableColumn>
    <tableColumn id="14" xr3:uid="{E6031934-1362-4C76-BB05-05496730CE2B}" name="ING">
      <calculatedColumnFormula>M2+'Temporada 2025'!U8</calculatedColumnFormula>
    </tableColumn>
    <tableColumn id="15" xr3:uid="{06622841-2FCD-43F3-ADB1-40A957BA3D05}" name="BEL">
      <calculatedColumnFormula>N2+'Temporada 2025'!V8</calculatedColumnFormula>
    </tableColumn>
    <tableColumn id="16" xr3:uid="{1C0F20CA-6418-43C1-BA61-3A65E32D79C3}" name="HUN">
      <calculatedColumnFormula>O2+'Temporada 2025'!W8</calculatedColumnFormula>
    </tableColumn>
    <tableColumn id="17" xr3:uid="{5F286A06-A37A-48A0-BEFB-BE8D9DB9B89E}" name="HOL">
      <calculatedColumnFormula>P2+'Temporada 2025'!X8</calculatedColumnFormula>
    </tableColumn>
    <tableColumn id="18" xr3:uid="{9A5017EC-0959-4AFB-A6A3-861709CBD236}" name="ITA">
      <calculatedColumnFormula>Q2+'Temporada 2025'!Y8</calculatedColumnFormula>
    </tableColumn>
    <tableColumn id="19" xr3:uid="{9766B5D4-885E-4671-9616-65C4C39D48C8}" name="AZE">
      <calculatedColumnFormula>R2+'Temporada 2025'!Z8</calculatedColumnFormula>
    </tableColumn>
    <tableColumn id="20" xr3:uid="{D23B955C-6462-497E-A56E-EB3DA35ED06B}" name="SIN">
      <calculatedColumnFormula>S2+'Temporada 2025'!AA8</calculatedColumnFormula>
    </tableColumn>
    <tableColumn id="21" xr3:uid="{96408349-1115-4F6C-B17A-0045C1D140C4}" name="USA">
      <calculatedColumnFormula>T2+'Temporada 2025'!AB8</calculatedColumnFormula>
    </tableColumn>
    <tableColumn id="22" xr3:uid="{3B3F1AB4-EA7A-4D35-B696-FCE9F5B76DF0}" name="MEX">
      <calculatedColumnFormula>U2+'Temporada 2025'!AC8</calculatedColumnFormula>
    </tableColumn>
    <tableColumn id="23" xr3:uid="{780BA5B0-DD7D-4F26-BA5A-104074FE3AC5}" name="SÃO">
      <calculatedColumnFormula>V2+'Temporada 2025'!AD8</calculatedColumnFormula>
    </tableColumn>
    <tableColumn id="24" xr3:uid="{1DEFC913-323A-4389-AB2F-AFA442EEF809}" name="VEG">
      <calculatedColumnFormula>W2+'Temporada 2025'!AE8</calculatedColumnFormula>
    </tableColumn>
    <tableColumn id="25" xr3:uid="{8C5E760E-EEE5-4715-AC0A-D489B41A40BE}" name="QAT">
      <calculatedColumnFormula>X2+'Temporada 2025'!AF8</calculatedColumnFormula>
    </tableColumn>
    <tableColumn id="26" xr3:uid="{AAE04CAF-6BBE-4EF1-A93C-317958B04836}" name="ABU">
      <calculatedColumnFormula>Y2+'Temporada 2025'!AG8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17" headerRowBorderDxfId="16" tableBorderDxfId="15">
  <autoFilter ref="A29:Z43" xr:uid="{D3CD0A9F-6CB7-45BF-94EF-ED021861F630}">
    <filterColumn colId="1">
      <filters>
        <filter val="Alpine"/>
        <filter val="Aston Martin"/>
        <filter val="Ferrari"/>
        <filter val="Haas"/>
        <filter val="Kick Sauber"/>
        <filter val="McLaren 🏆"/>
        <filter val="Mercedes"/>
        <filter val="Racing Bulls"/>
        <filter val="Red Bull"/>
        <filter val="Williams"/>
        <filter val="🏆 Título"/>
      </filters>
    </filterColumn>
  </autoFilter>
  <tableColumns count="26">
    <tableColumn id="1" xr3:uid="{6691E2FF-26AE-44B1-A967-3119E729039B}" name="Pos">
      <calculatedColumnFormula>'Temporada 2025'!B39</calculatedColumnFormula>
    </tableColumn>
    <tableColumn id="2" xr3:uid="{657E6D51-64D3-4374-B430-EB8E68CA2EF2}" name="Equipe">
      <calculatedColumnFormula>'Temporada 2025'!C39</calculatedColumnFormula>
    </tableColumn>
    <tableColumn id="3" xr3:uid="{95D9B999-1133-4A8F-BFA8-037ED26A5978}" name="AUS" dataDxfId="14">
      <calculatedColumnFormula>'Temporada 2025'!J39</calculatedColumnFormula>
    </tableColumn>
    <tableColumn id="4" xr3:uid="{8970FB0E-ACA8-4811-A0D5-D5898C0A570A}" name="CHI" dataDxfId="13">
      <calculatedColumnFormula>Tabela2[[#This Row],[AUS]]+'Temporada 2025'!K39</calculatedColumnFormula>
    </tableColumn>
    <tableColumn id="5" xr3:uid="{50B2A34D-5CB8-4D78-B726-E1D59531308E}" name="JAP">
      <calculatedColumnFormula>Tabela2[[#This Row],[CHI]]+'Temporada 2025'!L39</calculatedColumnFormula>
    </tableColumn>
    <tableColumn id="6" xr3:uid="{F6772682-B5FB-4EA3-A7DC-13CE04FDDE9A}" name="BAH">
      <calculatedColumnFormula>Tabela2[[#This Row],[JAP]]+'Temporada 2025'!M39</calculatedColumnFormula>
    </tableColumn>
    <tableColumn id="7" xr3:uid="{73127945-C91F-4FE1-8C6D-392735672C2F}" name="SAL">
      <calculatedColumnFormula>Tabela2[[#This Row],[BAH]]+'Temporada 2025'!N39</calculatedColumnFormula>
    </tableColumn>
    <tableColumn id="8" xr3:uid="{8DB95D64-D3F5-4EAA-A04A-D63417C9FBCE}" name="MIA">
      <calculatedColumnFormula>Tabela2[[#This Row],[SAL]]+'Temporada 2025'!O39</calculatedColumnFormula>
    </tableColumn>
    <tableColumn id="9" xr3:uid="{8AF3D56E-D6E8-4995-A6D1-328F6BECFB07}" name="EMI">
      <calculatedColumnFormula>Tabela2[[#This Row],[MIA]]+'Temporada 2025'!P39</calculatedColumnFormula>
    </tableColumn>
    <tableColumn id="10" xr3:uid="{AE8A26BD-6A0C-4E55-B90C-991B4CD7AD88}" name="MON">
      <calculatedColumnFormula>Tabela2[[#This Row],[EMI]]+'Temporada 2025'!Q39</calculatedColumnFormula>
    </tableColumn>
    <tableColumn id="11" xr3:uid="{70A73C78-D43A-4E44-A7A5-CDAD2802262D}" name="ESP">
      <calculatedColumnFormula>Tabela2[[#This Row],[MON]]+'Temporada 2025'!R39</calculatedColumnFormula>
    </tableColumn>
    <tableColumn id="12" xr3:uid="{25116985-2EAB-4501-B9F9-AF170E023BA4}" name="CAN">
      <calculatedColumnFormula>Tabela2[[#This Row],[ESP]]+'Temporada 2025'!S39</calculatedColumnFormula>
    </tableColumn>
    <tableColumn id="13" xr3:uid="{5EF26F33-D9E6-48E9-A041-28973C321A10}" name="AUT">
      <calculatedColumnFormula>Tabela2[[#This Row],[CAN]]+'Temporada 2025'!T39</calculatedColumnFormula>
    </tableColumn>
    <tableColumn id="14" xr3:uid="{04D80228-C1B6-4EC3-8E0C-8F51FD86065F}" name="ING">
      <calculatedColumnFormula>Tabela2[[#This Row],[AUT]]+'Temporada 2025'!U39</calculatedColumnFormula>
    </tableColumn>
    <tableColumn id="15" xr3:uid="{F8A35A09-4659-47B8-9D4D-2F8F75990239}" name="BEL">
      <calculatedColumnFormula>Tabela2[[#This Row],[ING]]+'Temporada 2025'!V39</calculatedColumnFormula>
    </tableColumn>
    <tableColumn id="16" xr3:uid="{2BD2C2DE-8A8A-4A8D-9FAC-1022862A7B7C}" name="HUN">
      <calculatedColumnFormula>Tabela2[[#This Row],[BEL]]+'Temporada 2025'!W39</calculatedColumnFormula>
    </tableColumn>
    <tableColumn id="17" xr3:uid="{57CE9A40-68EF-4BAC-A6E9-DAC5073A71E4}" name="HOL">
      <calculatedColumnFormula>Tabela2[[#This Row],[HUN]]+'Temporada 2025'!X39</calculatedColumnFormula>
    </tableColumn>
    <tableColumn id="18" xr3:uid="{142B04A9-1C9F-4E4E-83C4-8346F2411094}" name="ITA">
      <calculatedColumnFormula>Tabela2[[#This Row],[HOL]]+'Temporada 2025'!Y39</calculatedColumnFormula>
    </tableColumn>
    <tableColumn id="19" xr3:uid="{8AB362C1-B443-4A32-9985-E5294A2A5F88}" name="AZE">
      <calculatedColumnFormula>Tabela2[[#This Row],[ITA]]+'Temporada 2025'!Z39</calculatedColumnFormula>
    </tableColumn>
    <tableColumn id="20" xr3:uid="{ADA13C9E-E9A9-41F5-B3CC-911CB126B31D}" name="SIN">
      <calculatedColumnFormula>Tabela2[[#This Row],[AZE]]+'Temporada 2025'!AA39</calculatedColumnFormula>
    </tableColumn>
    <tableColumn id="21" xr3:uid="{7B31DD94-8E37-49CB-9D49-8A379646C8AB}" name="USA">
      <calculatedColumnFormula>Tabela2[[#This Row],[SIN]]+'Temporada 2025'!AB39</calculatedColumnFormula>
    </tableColumn>
    <tableColumn id="22" xr3:uid="{9620376C-FE27-43FF-94C7-5AED2B70C7DE}" name="MEX">
      <calculatedColumnFormula>Tabela2[[#This Row],[USA]]+'Temporada 2025'!AC39</calculatedColumnFormula>
    </tableColumn>
    <tableColumn id="23" xr3:uid="{61961DBD-90C2-4C8E-BE71-38E38FC0FF70}" name="SÃO">
      <calculatedColumnFormula>Tabela2[[#This Row],[MEX]]+'Temporada 2025'!AD39</calculatedColumnFormula>
    </tableColumn>
    <tableColumn id="24" xr3:uid="{38C01605-0531-49B8-B80B-0FDDE505781F}" name="VEG">
      <calculatedColumnFormula>Tabela2[[#This Row],[SÃO]]+'Temporada 2025'!AE39</calculatedColumnFormula>
    </tableColumn>
    <tableColumn id="25" xr3:uid="{E1BBF730-AB79-4A35-885D-A13DD8FC5950}" name="QAT">
      <calculatedColumnFormula>Tabela2[[#This Row],[VEG]]+'Temporada 2025'!AF39</calculatedColumnFormula>
    </tableColumn>
    <tableColumn id="26" xr3:uid="{F599B151-3149-4B9D-BB03-36DD4B40D7DF}" name="ABU">
      <calculatedColumnFormula>Tabela2[[#This Row],[QAT]]+'Temporada 2025'!AG39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ithub.com/maurilyn/f1-planilha-2025" TargetMode="External"/><Relationship Id="rId1" Type="http://schemas.openxmlformats.org/officeDocument/2006/relationships/hyperlink" Target="https://gtspeed.com.br/" TargetMode="Externa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>
      <selection activeCell="X7" sqref="X7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43" t="s">
        <v>279</v>
      </c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4" t="s">
        <v>280</v>
      </c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  <c r="BA1" s="144"/>
      <c r="BB1" s="144"/>
      <c r="BC1" s="144"/>
    </row>
    <row r="2" spans="1:55" x14ac:dyDescent="0.2">
      <c r="A2" s="1" t="s">
        <v>270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271</v>
      </c>
      <c r="AE2" s="10" t="s">
        <v>272</v>
      </c>
      <c r="AF2" s="10" t="s">
        <v>273</v>
      </c>
      <c r="AG2" s="10" t="s">
        <v>274</v>
      </c>
      <c r="AH2" s="10" t="s">
        <v>275</v>
      </c>
      <c r="AI2" s="10" t="s">
        <v>276</v>
      </c>
      <c r="AJ2" s="10" t="s">
        <v>277</v>
      </c>
      <c r="AK2" s="10" t="s">
        <v>278</v>
      </c>
      <c r="AL2" s="10" t="s">
        <v>281</v>
      </c>
      <c r="AM2" s="10" t="s">
        <v>282</v>
      </c>
      <c r="AN2" s="10" t="s">
        <v>283</v>
      </c>
      <c r="AO2" s="10" t="s">
        <v>284</v>
      </c>
      <c r="AP2" s="10" t="s">
        <v>285</v>
      </c>
      <c r="AQ2" s="10" t="s">
        <v>286</v>
      </c>
      <c r="AR2" s="10" t="s">
        <v>287</v>
      </c>
      <c r="AS2" s="10" t="s">
        <v>288</v>
      </c>
      <c r="AT2" s="10" t="s">
        <v>289</v>
      </c>
      <c r="AU2" s="10" t="s">
        <v>290</v>
      </c>
      <c r="AV2" s="10" t="s">
        <v>291</v>
      </c>
      <c r="AW2" s="10" t="s">
        <v>292</v>
      </c>
      <c r="AX2" s="10" t="s">
        <v>293</v>
      </c>
      <c r="AY2" s="10" t="s">
        <v>294</v>
      </c>
      <c r="AZ2" s="10" t="s">
        <v>295</v>
      </c>
      <c r="BA2" s="10" t="s">
        <v>296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 🏆</v>
      </c>
      <c r="E3" s="1">
        <f>IF(B3&lt;&gt;"",SUMIF(Resultados!C:C,B3,Resultados!F:F),"")</f>
        <v>408</v>
      </c>
      <c r="F3" s="7">
        <f>IF(B3&lt;&gt;"",SUMPRODUCT((Resultados!$B$1:$B$549=1)*(Resultados!$C$1:$C$549=B3)*1),"")</f>
        <v>6</v>
      </c>
      <c r="G3" s="7">
        <f>IF(B3&lt;&gt;"",SUMPRODUCT((Resultados!$B$1:$B$549=2)*(Resultados!$C$1:$C$549=B3)*1),"")</f>
        <v>7</v>
      </c>
      <c r="H3" s="7">
        <f>IF(B3&lt;&gt;"",SUMPRODUCT((Resultados!$B$1:$B$549=3)*(Resultados!$C$1:$C$549=B3)*1),"")</f>
        <v>2</v>
      </c>
      <c r="I3" s="7">
        <f>IF(B3&lt;&gt;"",SUMPRODUCT((Resultados!$B$1:$B$549=4)*(Resultados!$C$1:$C$549=B3)*1),"")</f>
        <v>1</v>
      </c>
      <c r="J3" s="7">
        <f>IF(B3&lt;&gt;"",SUMPRODUCT((Resultados!$B$1:$B$549=5)*(Resultados!$C$1:$C$549=B3)*1),"")</f>
        <v>0</v>
      </c>
      <c r="K3" s="7">
        <f>IF(B3&lt;&gt;"",SUMPRODUCT((Resultados!$B$1:$B$549=6)*(Resultados!$C$1:$C$549=B3)*1),"")</f>
        <v>0</v>
      </c>
      <c r="L3" s="7">
        <f>IF(B3&lt;&gt;"",SUMPRODUCT((Resultados!$B$1:$B$549=7)*(Resultados!$C$1:$C$549=B3)*1),"")</f>
        <v>1</v>
      </c>
      <c r="M3" s="7">
        <f>IF(B3&lt;&gt;"",SUMPRODUCT((Resultados!$B$1:$B$549=8)*(Resultados!$C$1:$C$549=B3)*1),"")</f>
        <v>1</v>
      </c>
      <c r="N3" s="7">
        <f>IF(B3&lt;&gt;"",SUMPRODUCT((Resultados!$B$1:$B$549=9)*(Resultados!$C$1:$C$549=B3)*1),"")</f>
        <v>0</v>
      </c>
      <c r="O3" s="7">
        <f>IF(B3&lt;&gt;"",SUMPRODUCT((Resultados!$B$1:$B$549=10)*(Resultados!$C$1:$C$549=B3)*1),"")</f>
        <v>0</v>
      </c>
      <c r="P3" s="7">
        <f>IF(B3&lt;&gt;"",SUMPRODUCT((Resultados!$B$1:$B$549=11)*(Resultados!$C$1:$C$549=B3)*1),"")</f>
        <v>0</v>
      </c>
      <c r="Q3" s="7">
        <f>IF(B3&lt;&gt;"",SUMPRODUCT((Resultados!$B$1:$B$549=12)*(Resultados!$C$1:$C$549=B3)*1),"")</f>
        <v>0</v>
      </c>
      <c r="R3" s="7">
        <f>IF(B3&lt;&gt;"",SUMPRODUCT((Resultados!$B$1:$B$549=13)*(Resultados!$C$1:$C$549=B3)*1),"")</f>
        <v>0</v>
      </c>
      <c r="S3" s="7">
        <f>IF(B3&lt;&gt;"",SUMPRODUCT((Resultados!$B$1:$B$549=14)*(Resultados!$C$1:$C$549=B3)*1),"")</f>
        <v>0</v>
      </c>
      <c r="T3" s="7">
        <f>IF(B3&lt;&gt;"",SUMPRODUCT((Resultados!$B$1:$B$549=15)*(Resultados!$C$1:$C$549=B3)*1),"")</f>
        <v>0</v>
      </c>
      <c r="U3" s="7">
        <f>IF(B3&lt;&gt;"",SUMPRODUCT((Resultados!$B$1:$B$549=16)*(Resultados!$C$1:$C$549=B3)*1),"")</f>
        <v>0</v>
      </c>
      <c r="V3" s="7">
        <f>IF(B3&lt;&gt;"",SUMPRODUCT((Resultados!$B$1:$B$549=17)*(Resultados!$C$1:$C$549=B3)*1),"")</f>
        <v>0</v>
      </c>
      <c r="W3" s="7">
        <f>IF(B3&lt;&gt;"",SUMPRODUCT((Resultados!$B$1:$B$549=18)*(Resultados!$C$1:$C$549=B3)*1),"")</f>
        <v>2</v>
      </c>
      <c r="X3" s="7">
        <f>IF(B3&lt;&gt;"",SUMPRODUCT((Resultados!$B$1:$B$549=19)*(Resultados!$C$1:$C$549=B3)*1),"")</f>
        <v>0</v>
      </c>
      <c r="Y3" s="7">
        <f>IF(B3&lt;&gt;"",SUMPRODUCT((Resultados!$B$1:$B$549=20)*(Resultados!$C$1:$C$549=B3)*1),"")</f>
        <v>0</v>
      </c>
      <c r="Z3" s="7">
        <f>IF(B3&lt;&gt;"",SUMPRODUCT((Resultados!$B$1:$B$549=21)*(Resultados!$C$1:$C$549=B3)*1),"")</f>
        <v>0</v>
      </c>
      <c r="AA3" s="7">
        <f>IF(B3&lt;&gt;"",SUMPRODUCT((Resultados!$B$1:$B$549=22)*(Resultados!$C$1:$C$549=B3)*1),"")</f>
        <v>0</v>
      </c>
      <c r="AB3" s="7">
        <f>IF(B3&lt;&gt;"",SUMPRODUCT((Resultados!$B$1:$B$549=23)*(Resultados!$C$1:$C$549=B3)*1),"")</f>
        <v>0</v>
      </c>
      <c r="AC3" s="7">
        <f>IF(B3&lt;&gt;"",SUMPRODUCT((Resultados!$B$1:$B$549=24)*(Resultados!$C$1:$C$549=B3)*1),"")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3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 🏆</v>
      </c>
      <c r="E4" s="1">
        <f>IF(B4&lt;&gt;"",SUMIF(Resultados!C:C,B4,Resultados!F:F),"")</f>
        <v>392</v>
      </c>
      <c r="F4" s="7">
        <f>IF(B4&lt;&gt;"",SUMPRODUCT((Resultados!$B$1:$B$549=1)*(Resultados!$C$1:$C$549=B4)*1),"")</f>
        <v>7</v>
      </c>
      <c r="G4" s="7">
        <f>IF(B4&lt;&gt;"",SUMPRODUCT((Resultados!$B$1:$B$549=2)*(Resultados!$C$1:$C$549=B4)*1),"")</f>
        <v>6</v>
      </c>
      <c r="H4" s="7">
        <f>IF(B4&lt;&gt;"",SUMPRODUCT((Resultados!$B$1:$B$549=3)*(Resultados!$C$1:$C$549=B4)*1),"")</f>
        <v>4</v>
      </c>
      <c r="I4" s="7">
        <f>IF(B4&lt;&gt;"",SUMPRODUCT((Resultados!$B$1:$B$549=4)*(Resultados!$C$1:$C$549=B4)*1),"")</f>
        <v>1</v>
      </c>
      <c r="J4" s="7">
        <f>IF(B4&lt;&gt;"",SUMPRODUCT((Resultados!$B$1:$B$549=5)*(Resultados!$C$1:$C$549=B4)*1),"")</f>
        <v>0</v>
      </c>
      <c r="K4" s="7">
        <f>IF(B4&lt;&gt;"",SUMPRODUCT((Resultados!$B$1:$B$549=6)*(Resultados!$C$1:$C$549=B4)*1),"")</f>
        <v>0</v>
      </c>
      <c r="L4" s="7">
        <f>IF(B4&lt;&gt;"",SUMPRODUCT((Resultados!$B$1:$B$549=7)*(Resultados!$C$1:$C$549=B4)*1),"")</f>
        <v>0</v>
      </c>
      <c r="M4" s="7">
        <f>IF(B4&lt;&gt;"",SUMPRODUCT((Resultados!$B$1:$B$549=8)*(Resultados!$C$1:$C$549=B4)*1),"")</f>
        <v>0</v>
      </c>
      <c r="N4" s="7">
        <f>IF(B4&lt;&gt;"",SUMPRODUCT((Resultados!$B$1:$B$549=9)*(Resultados!$C$1:$C$549=B4)*1),"")</f>
        <v>1</v>
      </c>
      <c r="O4" s="7">
        <f>IF(B4&lt;&gt;"",SUMPRODUCT((Resultados!$B$1:$B$549=10)*(Resultados!$C$1:$C$549=B4)*1),"")</f>
        <v>0</v>
      </c>
      <c r="P4" s="7">
        <f>IF(B4&lt;&gt;"",SUMPRODUCT((Resultados!$B$1:$B$549=11)*(Resultados!$C$1:$C$549=B4)*1),"")</f>
        <v>0</v>
      </c>
      <c r="Q4" s="7">
        <f>IF(B4&lt;&gt;"",SUMPRODUCT((Resultados!$B$1:$B$549=12)*(Resultados!$C$1:$C$549=B4)*1),"")</f>
        <v>0</v>
      </c>
      <c r="R4" s="7">
        <f>IF(B4&lt;&gt;"",SUMPRODUCT((Resultados!$B$1:$B$549=13)*(Resultados!$C$1:$C$549=B4)*1),"")</f>
        <v>0</v>
      </c>
      <c r="S4" s="7">
        <f>IF(B4&lt;&gt;"",SUMPRODUCT((Resultados!$B$1:$B$549=14)*(Resultados!$C$1:$C$549=B4)*1),"")</f>
        <v>0</v>
      </c>
      <c r="T4" s="7">
        <f>IF(B4&lt;&gt;"",SUMPRODUCT((Resultados!$B$1:$B$549=15)*(Resultados!$C$1:$C$549=B4)*1),"")</f>
        <v>0</v>
      </c>
      <c r="U4" s="7">
        <f>IF(B4&lt;&gt;"",SUMPRODUCT((Resultados!$B$1:$B$549=16)*(Resultados!$C$1:$C$549=B4)*1),"")</f>
        <v>0</v>
      </c>
      <c r="V4" s="7">
        <f>IF(B4&lt;&gt;"",SUMPRODUCT((Resultados!$B$1:$B$549=17)*(Resultados!$C$1:$C$549=B4)*1),"")</f>
        <v>0</v>
      </c>
      <c r="W4" s="7">
        <f>IF(B4&lt;&gt;"",SUMPRODUCT((Resultados!$B$1:$B$549=18)*(Resultados!$C$1:$C$549=B4)*1),"")</f>
        <v>0</v>
      </c>
      <c r="X4" s="7">
        <f>IF(B4&lt;&gt;"",SUMPRODUCT((Resultados!$B$1:$B$549=19)*(Resultados!$C$1:$C$549=B4)*1),"")</f>
        <v>0</v>
      </c>
      <c r="Y4" s="7">
        <f>IF(B4&lt;&gt;"",SUMPRODUCT((Resultados!$B$1:$B$549=20)*(Resultados!$C$1:$C$549=B4)*1),"")</f>
        <v>1</v>
      </c>
      <c r="Z4" s="7">
        <f>IF(B4&lt;&gt;"",SUMPRODUCT((Resultados!$B$1:$B$549=21)*(Resultados!$C$1:$C$549=B4)*1),"")</f>
        <v>0</v>
      </c>
      <c r="AA4" s="7">
        <f>IF(B4&lt;&gt;"",SUMPRODUCT((Resultados!$B$1:$B$549=22)*(Resultados!$C$1:$C$549=B4)*1),"")</f>
        <v>0</v>
      </c>
      <c r="AB4" s="7">
        <f>IF(B4&lt;&gt;"",SUMPRODUCT((Resultados!$B$1:$B$549=23)*(Resultados!$C$1:$C$549=B4)*1),"")</f>
        <v>0</v>
      </c>
      <c r="AC4" s="7">
        <f>IF(B4&lt;&gt;"",SUMPRODUCT((Resultados!$B$1:$B$549=24)*(Resultados!$C$1:$C$549=B4)*1),"")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5</v>
      </c>
      <c r="B5" s="1" t="str">
        <f>IF('Equipes e Pilotos'!C5&lt;&gt;"",'Equipes e Pilotos'!C5,"")</f>
        <v>Charles Leclerc</v>
      </c>
      <c r="C5" s="1" t="str">
        <f>IF(B5&lt;&gt;"",VLOOKUP(B5,'Equipes e Pilotos'!$C$3:$F$30,3,FALSE),"")</f>
        <v>Mônaco</v>
      </c>
      <c r="D5" s="1" t="str">
        <f>IF(B5&lt;&gt;"",VLOOKUP(B5,'Equipes e Pilotos'!$C$3:$F$30,4,FALSE),"")</f>
        <v>Ferrari</v>
      </c>
      <c r="E5" s="1">
        <f>IF(B5&lt;&gt;"",SUMIF(Resultados!C:C,B5,Resultados!F:F),"")</f>
        <v>230</v>
      </c>
      <c r="F5" s="7">
        <f>IF(B5&lt;&gt;"",SUMPRODUCT((Resultados!$B$1:$B$549=1)*(Resultados!$C$1:$C$549=B5)*1),"")</f>
        <v>0</v>
      </c>
      <c r="G5" s="7">
        <f>IF(B5&lt;&gt;"",SUMPRODUCT((Resultados!$B$1:$B$549=2)*(Resultados!$C$1:$C$549=B5)*1),"")</f>
        <v>1</v>
      </c>
      <c r="H5" s="7">
        <f>IF(B5&lt;&gt;"",SUMPRODUCT((Resultados!$B$1:$B$549=3)*(Resultados!$C$1:$C$549=B5)*1),"")</f>
        <v>4</v>
      </c>
      <c r="I5" s="7">
        <f>IF(B5&lt;&gt;"",SUMPRODUCT((Resultados!$B$1:$B$549=4)*(Resultados!$C$1:$C$549=B5)*1),"")</f>
        <v>5</v>
      </c>
      <c r="J5" s="7">
        <f>IF(B5&lt;&gt;"",SUMPRODUCT((Resultados!$B$1:$B$549=5)*(Resultados!$C$1:$C$549=B5)*1),"")</f>
        <v>2</v>
      </c>
      <c r="K5" s="7">
        <f>IF(B5&lt;&gt;"",SUMPRODUCT((Resultados!$B$1:$B$549=6)*(Resultados!$C$1:$C$549=B5)*1),"")</f>
        <v>1</v>
      </c>
      <c r="L5" s="7">
        <f>IF(B5&lt;&gt;"",SUMPRODUCT((Resultados!$B$1:$B$549=7)*(Resultados!$C$1:$C$549=B5)*1),"")</f>
        <v>1</v>
      </c>
      <c r="M5" s="7">
        <f>IF(B5&lt;&gt;"",SUMPRODUCT((Resultados!$B$1:$B$549=8)*(Resultados!$C$1:$C$549=B5)*1),"")</f>
        <v>1</v>
      </c>
      <c r="N5" s="7">
        <f>IF(B5&lt;&gt;"",SUMPRODUCT((Resultados!$B$1:$B$549=9)*(Resultados!$C$1:$C$549=B5)*1),"")</f>
        <v>1</v>
      </c>
      <c r="O5" s="7">
        <f>IF(B5&lt;&gt;"",SUMPRODUCT((Resultados!$B$1:$B$549=10)*(Resultados!$C$1:$C$549=B5)*1),"")</f>
        <v>0</v>
      </c>
      <c r="P5" s="7">
        <f>IF(B5&lt;&gt;"",SUMPRODUCT((Resultados!$B$1:$B$549=11)*(Resultados!$C$1:$C$549=B5)*1),"")</f>
        <v>0</v>
      </c>
      <c r="Q5" s="7">
        <f>IF(B5&lt;&gt;"",SUMPRODUCT((Resultados!$B$1:$B$549=12)*(Resultados!$C$1:$C$549=B5)*1),"")</f>
        <v>0</v>
      </c>
      <c r="R5" s="7">
        <f>IF(B5&lt;&gt;"",SUMPRODUCT((Resultados!$B$1:$B$549=13)*(Resultados!$C$1:$C$549=B5)*1),"")</f>
        <v>0</v>
      </c>
      <c r="S5" s="7">
        <f>IF(B5&lt;&gt;"",SUMPRODUCT((Resultados!$B$1:$B$549=14)*(Resultados!$C$1:$C$549=B5)*1),"")</f>
        <v>1</v>
      </c>
      <c r="T5" s="7">
        <f>IF(B5&lt;&gt;"",SUMPRODUCT((Resultados!$B$1:$B$549=15)*(Resultados!$C$1:$C$549=B5)*1),"")</f>
        <v>0</v>
      </c>
      <c r="U5" s="7">
        <f>IF(B5&lt;&gt;"",SUMPRODUCT((Resultados!$B$1:$B$549=16)*(Resultados!$C$1:$C$549=B5)*1),"")</f>
        <v>0</v>
      </c>
      <c r="V5" s="7">
        <f>IF(B5&lt;&gt;"",SUMPRODUCT((Resultados!$B$1:$B$549=17)*(Resultados!$C$1:$C$549=B5)*1),"")</f>
        <v>0</v>
      </c>
      <c r="W5" s="7">
        <f>IF(B5&lt;&gt;"",SUMPRODUCT((Resultados!$B$1:$B$549=18)*(Resultados!$C$1:$C$549=B5)*1),"")</f>
        <v>1</v>
      </c>
      <c r="X5" s="7">
        <f>IF(B5&lt;&gt;"",SUMPRODUCT((Resultados!$B$1:$B$549=19)*(Resultados!$C$1:$C$549=B5)*1),"")</f>
        <v>1</v>
      </c>
      <c r="Y5" s="7">
        <f>IF(B5&lt;&gt;"",SUMPRODUCT((Resultados!$B$1:$B$549=20)*(Resultados!$C$1:$C$549=B5)*1),"")</f>
        <v>1</v>
      </c>
      <c r="Z5" s="7">
        <f>IF(B5&lt;&gt;"",SUMPRODUCT((Resultados!$B$1:$B$549=21)*(Resultados!$C$1:$C$549=B5)*1),"")</f>
        <v>0</v>
      </c>
      <c r="AA5" s="7">
        <f>IF(B5&lt;&gt;"",SUMPRODUCT((Resultados!$B$1:$B$549=22)*(Resultados!$C$1:$C$549=B5)*1),"")</f>
        <v>0</v>
      </c>
      <c r="AB5" s="7">
        <f>IF(B5&lt;&gt;"",SUMPRODUCT((Resultados!$B$1:$B$549=23)*(Resultados!$C$1:$C$549=B5)*1),"")</f>
        <v>0</v>
      </c>
      <c r="AC5" s="7">
        <f>IF(B5&lt;&gt;"",SUMPRODUCT((Resultados!$B$1:$B$549=24)*(Resultados!$C$1:$C$549=B5)*1),"")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6</v>
      </c>
      <c r="B6" s="1" t="str">
        <f>IF('Equipes e Pilotos'!C6&lt;&gt;"",'Equipes e Pilotos'!C6,"")</f>
        <v>Lewis Hamilton</v>
      </c>
      <c r="C6" s="1" t="str">
        <f>IF(B6&lt;&gt;"",VLOOKUP(B6,'Equipes e Pilotos'!$C$3:$F$30,3,FALSE),"")</f>
        <v>Inglaterra</v>
      </c>
      <c r="D6" s="1" t="str">
        <f>IF(B6&lt;&gt;"",VLOOKUP(B6,'Equipes e Pilotos'!$C$3:$F$30,4,FALSE),"")</f>
        <v>Ferrari</v>
      </c>
      <c r="E6" s="1">
        <f>IF(B6&lt;&gt;"",SUMIF(Resultados!C:C,B6,Resultados!F:F),"")</f>
        <v>152</v>
      </c>
      <c r="F6" s="7">
        <f>IF(B6&lt;&gt;"",SUMPRODUCT((Resultados!$B$1:$B$549=1)*(Resultados!$C$1:$C$549=B6)*1),"")</f>
        <v>1</v>
      </c>
      <c r="G6" s="7">
        <f>IF(B6&lt;&gt;"",SUMPRODUCT((Resultados!$B$1:$B$549=2)*(Resultados!$C$1:$C$549=B6)*1),"")</f>
        <v>0</v>
      </c>
      <c r="H6" s="7">
        <f>IF(B6&lt;&gt;"",SUMPRODUCT((Resultados!$B$1:$B$549=3)*(Resultados!$C$1:$C$549=B6)*1),"")</f>
        <v>1</v>
      </c>
      <c r="I6" s="7">
        <f>IF(B6&lt;&gt;"",SUMPRODUCT((Resultados!$B$1:$B$549=4)*(Resultados!$C$1:$C$549=B6)*1),"")</f>
        <v>3</v>
      </c>
      <c r="J6" s="7">
        <f>IF(B6&lt;&gt;"",SUMPRODUCT((Resultados!$B$1:$B$549=5)*(Resultados!$C$1:$C$549=B6)*1),"")</f>
        <v>2</v>
      </c>
      <c r="K6" s="7">
        <f>IF(B6&lt;&gt;"",SUMPRODUCT((Resultados!$B$1:$B$549=6)*(Resultados!$C$1:$C$549=B6)*1),"")</f>
        <v>3</v>
      </c>
      <c r="L6" s="7">
        <f>IF(B6&lt;&gt;"",SUMPRODUCT((Resultados!$B$1:$B$549=7)*(Resultados!$C$1:$C$549=B6)*1),"")</f>
        <v>3</v>
      </c>
      <c r="M6" s="7">
        <f>IF(B6&lt;&gt;"",SUMPRODUCT((Resultados!$B$1:$B$549=8)*(Resultados!$C$1:$C$549=B6)*1),"")</f>
        <v>2</v>
      </c>
      <c r="N6" s="7">
        <f>IF(B6&lt;&gt;"",SUMPRODUCT((Resultados!$B$1:$B$549=9)*(Resultados!$C$1:$C$549=B6)*1),"")</f>
        <v>0</v>
      </c>
      <c r="O6" s="7">
        <f>IF(B6&lt;&gt;"",SUMPRODUCT((Resultados!$B$1:$B$549=10)*(Resultados!$C$1:$C$549=B6)*1),"")</f>
        <v>1</v>
      </c>
      <c r="P6" s="7">
        <f>IF(B6&lt;&gt;"",SUMPRODUCT((Resultados!$B$1:$B$549=11)*(Resultados!$C$1:$C$549=B6)*1),"")</f>
        <v>0</v>
      </c>
      <c r="Q6" s="7">
        <f>IF(B6&lt;&gt;"",SUMPRODUCT((Resultados!$B$1:$B$549=12)*(Resultados!$C$1:$C$549=B6)*1),"")</f>
        <v>1</v>
      </c>
      <c r="R6" s="7">
        <f>IF(B6&lt;&gt;"",SUMPRODUCT((Resultados!$B$1:$B$549=13)*(Resultados!$C$1:$C$549=B6)*1),"")</f>
        <v>0</v>
      </c>
      <c r="S6" s="7">
        <f>IF(B6&lt;&gt;"",SUMPRODUCT((Resultados!$B$1:$B$549=14)*(Resultados!$C$1:$C$549=B6)*1),"")</f>
        <v>0</v>
      </c>
      <c r="T6" s="7">
        <f>IF(B6&lt;&gt;"",SUMPRODUCT((Resultados!$B$1:$B$549=15)*(Resultados!$C$1:$C$549=B6)*1),"")</f>
        <v>1</v>
      </c>
      <c r="U6" s="7">
        <f>IF(B6&lt;&gt;"",SUMPRODUCT((Resultados!$B$1:$B$549=16)*(Resultados!$C$1:$C$549=B6)*1),"")</f>
        <v>0</v>
      </c>
      <c r="V6" s="7">
        <f>IF(B6&lt;&gt;"",SUMPRODUCT((Resultados!$B$1:$B$549=17)*(Resultados!$C$1:$C$549=B6)*1),"")</f>
        <v>0</v>
      </c>
      <c r="W6" s="7">
        <f>IF(B6&lt;&gt;"",SUMPRODUCT((Resultados!$B$1:$B$549=18)*(Resultados!$C$1:$C$549=B6)*1),"")</f>
        <v>0</v>
      </c>
      <c r="X6" s="7">
        <f>IF(B6&lt;&gt;"",SUMPRODUCT((Resultados!$B$1:$B$549=19)*(Resultados!$C$1:$C$549=B6)*1),"")</f>
        <v>1</v>
      </c>
      <c r="Y6" s="7">
        <f>IF(B6&lt;&gt;"",SUMPRODUCT((Resultados!$B$1:$B$549=20)*(Resultados!$C$1:$C$549=B6)*1),"")</f>
        <v>1</v>
      </c>
      <c r="Z6" s="7">
        <f>IF(B6&lt;&gt;"",SUMPRODUCT((Resultados!$B$1:$B$549=21)*(Resultados!$C$1:$C$549=B6)*1),"")</f>
        <v>0</v>
      </c>
      <c r="AA6" s="7">
        <f>IF(B6&lt;&gt;"",SUMPRODUCT((Resultados!$B$1:$B$549=22)*(Resultados!$C$1:$C$549=B6)*1),"")</f>
        <v>0</v>
      </c>
      <c r="AB6" s="7">
        <f>IF(B6&lt;&gt;"",SUMPRODUCT((Resultados!$B$1:$B$549=23)*(Resultados!$C$1:$C$549=B6)*1),"")</f>
        <v>0</v>
      </c>
      <c r="AC6" s="7">
        <f>IF(B6&lt;&gt;"",SUMPRODUCT((Resultados!$B$1:$B$549=24)*(Resultados!$C$1:$C$549=B6)*1),"")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2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396</v>
      </c>
      <c r="F7" s="7">
        <f>IF(B7&lt;&gt;"",SUMPRODUCT((Resultados!$B$1:$B$549=1)*(Resultados!$C$1:$C$549=B7)*1),"")</f>
        <v>5</v>
      </c>
      <c r="G7" s="7">
        <f>IF(B7&lt;&gt;"",SUMPRODUCT((Resultados!$B$1:$B$549=2)*(Resultados!$C$1:$C$549=B7)*1),"")</f>
        <v>4</v>
      </c>
      <c r="H7" s="7">
        <f>IF(B7&lt;&gt;"",SUMPRODUCT((Resultados!$B$1:$B$549=3)*(Resultados!$C$1:$C$549=B7)*1),"")</f>
        <v>1</v>
      </c>
      <c r="I7" s="7">
        <f>IF(B7&lt;&gt;"",SUMPRODUCT((Resultados!$B$1:$B$549=4)*(Resultados!$C$1:$C$549=B7)*1),"")</f>
        <v>4</v>
      </c>
      <c r="J7" s="7">
        <f>IF(B7&lt;&gt;"",SUMPRODUCT((Resultados!$B$1:$B$549=5)*(Resultados!$C$1:$C$549=B7)*1),"")</f>
        <v>1</v>
      </c>
      <c r="K7" s="7">
        <f>IF(B7&lt;&gt;"",SUMPRODUCT((Resultados!$B$1:$B$549=6)*(Resultados!$C$1:$C$549=B7)*1),"")</f>
        <v>1</v>
      </c>
      <c r="L7" s="7">
        <f>IF(B7&lt;&gt;"",SUMPRODUCT((Resultados!$B$1:$B$549=7)*(Resultados!$C$1:$C$549=B7)*1),"")</f>
        <v>0</v>
      </c>
      <c r="M7" s="7">
        <f>IF(B7&lt;&gt;"",SUMPRODUCT((Resultados!$B$1:$B$549=8)*(Resultados!$C$1:$C$549=B7)*1),"")</f>
        <v>0</v>
      </c>
      <c r="N7" s="7">
        <f>IF(B7&lt;&gt;"",SUMPRODUCT((Resultados!$B$1:$B$549=9)*(Resultados!$C$1:$C$549=B7)*1),"")</f>
        <v>1</v>
      </c>
      <c r="O7" s="7">
        <f>IF(B7&lt;&gt;"",SUMPRODUCT((Resultados!$B$1:$B$549=10)*(Resultados!$C$1:$C$549=B7)*1),"")</f>
        <v>1</v>
      </c>
      <c r="P7" s="7">
        <f>IF(B7&lt;&gt;"",SUMPRODUCT((Resultados!$B$1:$B$549=11)*(Resultados!$C$1:$C$549=B7)*1),"")</f>
        <v>0</v>
      </c>
      <c r="Q7" s="7">
        <f>IF(B7&lt;&gt;"",SUMPRODUCT((Resultados!$B$1:$B$549=12)*(Resultados!$C$1:$C$549=B7)*1),"")</f>
        <v>0</v>
      </c>
      <c r="R7" s="7">
        <f>IF(B7&lt;&gt;"",SUMPRODUCT((Resultados!$B$1:$B$549=13)*(Resultados!$C$1:$C$549=B7)*1),"")</f>
        <v>0</v>
      </c>
      <c r="S7" s="7">
        <f>IF(B7&lt;&gt;"",SUMPRODUCT((Resultados!$B$1:$B$549=14)*(Resultados!$C$1:$C$549=B7)*1),"")</f>
        <v>0</v>
      </c>
      <c r="T7" s="7">
        <f>IF(B7&lt;&gt;"",SUMPRODUCT((Resultados!$B$1:$B$549=15)*(Resultados!$C$1:$C$549=B7)*1),"")</f>
        <v>0</v>
      </c>
      <c r="U7" s="7">
        <f>IF(B7&lt;&gt;"",SUMPRODUCT((Resultados!$B$1:$B$549=16)*(Resultados!$C$1:$C$549=B7)*1),"")</f>
        <v>0</v>
      </c>
      <c r="V7" s="7">
        <f>IF(B7&lt;&gt;"",SUMPRODUCT((Resultados!$B$1:$B$549=17)*(Resultados!$C$1:$C$549=B7)*1),"")</f>
        <v>1</v>
      </c>
      <c r="W7" s="7">
        <f>IF(B7&lt;&gt;"",SUMPRODUCT((Resultados!$B$1:$B$549=18)*(Resultados!$C$1:$C$549=B7)*1),"")</f>
        <v>1</v>
      </c>
      <c r="X7" s="7">
        <f>IF(B7&lt;&gt;"",SUMPRODUCT((Resultados!$B$1:$B$549=19)*(Resultados!$C$1:$C$549=B7)*1),"")</f>
        <v>0</v>
      </c>
      <c r="Y7" s="7">
        <f>IF(B7&lt;&gt;"",SUMPRODUCT((Resultados!$B$1:$B$549=20)*(Resultados!$C$1:$C$549=B7)*1),"")</f>
        <v>0</v>
      </c>
      <c r="Z7" s="7">
        <f>IF(B7&lt;&gt;"",SUMPRODUCT((Resultados!$B$1:$B$549=21)*(Resultados!$C$1:$C$549=B7)*1),"")</f>
        <v>0</v>
      </c>
      <c r="AA7" s="7">
        <f>IF(B7&lt;&gt;"",SUMPRODUCT((Resultados!$B$1:$B$549=22)*(Resultados!$C$1:$C$549=B7)*1),"")</f>
        <v>0</v>
      </c>
      <c r="AB7" s="7">
        <f>IF(B7&lt;&gt;"",SUMPRODUCT((Resultados!$B$1:$B$549=23)*(Resultados!$C$1:$C$549=B7)*1),"")</f>
        <v>0</v>
      </c>
      <c r="AC7" s="7">
        <f>IF(B7&lt;&gt;"",SUMPRODUCT((Resultados!$B$1:$B$549=24)*(Resultados!$C$1:$C$549=B7)*1),"")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14</v>
      </c>
      <c r="B8" s="1" t="str">
        <f>IF('Equipes e Pilotos'!C8&lt;&gt;"",'Equipes e Pilotos'!C8,"")</f>
        <v>Liam Lawson</v>
      </c>
      <c r="C8" s="1" t="str">
        <f>IF(B8&lt;&gt;"",VLOOKUP(B8,'Equipes e Pilotos'!$C$3:$F$30,3,FALSE),"")</f>
        <v>Austrália</v>
      </c>
      <c r="D8" s="1" t="str">
        <f>IF(B8&lt;&gt;"",VLOOKUP(B8,'Equipes e Pilotos'!$C$3:$F$30,4,FALSE),"")</f>
        <v>Racing Bulls</v>
      </c>
      <c r="E8" s="1">
        <f>IF(B8&lt;&gt;"",SUMIF(Resultados!C:C,B8,Resultados!F:F),"")</f>
        <v>38</v>
      </c>
      <c r="F8" s="7">
        <f>IF(B8&lt;&gt;"",SUMPRODUCT((Resultados!$B$1:$B$549=1)*(Resultados!$C$1:$C$549=B8)*1),"")</f>
        <v>0</v>
      </c>
      <c r="G8" s="7">
        <f>IF(B8&lt;&gt;"",SUMPRODUCT((Resultados!$B$1:$B$549=2)*(Resultados!$C$1:$C$549=B8)*1),"")</f>
        <v>0</v>
      </c>
      <c r="H8" s="7">
        <f>IF(B8&lt;&gt;"",SUMPRODUCT((Resultados!$B$1:$B$549=3)*(Resultados!$C$1:$C$549=B8)*1),"")</f>
        <v>0</v>
      </c>
      <c r="I8" s="7">
        <f>IF(B8&lt;&gt;"",SUMPRODUCT((Resultados!$B$1:$B$549=4)*(Resultados!$C$1:$C$549=B8)*1),"")</f>
        <v>0</v>
      </c>
      <c r="J8" s="7">
        <f>IF(B8&lt;&gt;"",SUMPRODUCT((Resultados!$B$1:$B$549=5)*(Resultados!$C$1:$C$549=B8)*1),"")</f>
        <v>1</v>
      </c>
      <c r="K8" s="7">
        <f>IF(B8&lt;&gt;"",SUMPRODUCT((Resultados!$B$1:$B$549=6)*(Resultados!$C$1:$C$549=B8)*1),"")</f>
        <v>1</v>
      </c>
      <c r="L8" s="7">
        <f>IF(B8&lt;&gt;"",SUMPRODUCT((Resultados!$B$1:$B$549=7)*(Resultados!$C$1:$C$549=B8)*1),"")</f>
        <v>0</v>
      </c>
      <c r="M8" s="7">
        <f>IF(B8&lt;&gt;"",SUMPRODUCT((Resultados!$B$1:$B$549=8)*(Resultados!$C$1:$C$549=B8)*1),"")</f>
        <v>3</v>
      </c>
      <c r="N8" s="7">
        <f>IF(B8&lt;&gt;"",SUMPRODUCT((Resultados!$B$1:$B$549=9)*(Resultados!$C$1:$C$549=B8)*1),"")</f>
        <v>0</v>
      </c>
      <c r="O8" s="7">
        <f>IF(B8&lt;&gt;"",SUMPRODUCT((Resultados!$B$1:$B$549=10)*(Resultados!$C$1:$C$549=B8)*1),"")</f>
        <v>1</v>
      </c>
      <c r="P8" s="7">
        <f>IF(B8&lt;&gt;"",SUMPRODUCT((Resultados!$B$1:$B$549=11)*(Resultados!$C$1:$C$549=B8)*1),"")</f>
        <v>1</v>
      </c>
      <c r="Q8" s="7">
        <f>IF(B8&lt;&gt;"",SUMPRODUCT((Resultados!$B$1:$B$549=12)*(Resultados!$C$1:$C$549=B8)*1),"")</f>
        <v>3</v>
      </c>
      <c r="R8" s="7">
        <f>IF(B8&lt;&gt;"",SUMPRODUCT((Resultados!$B$1:$B$549=13)*(Resultados!$C$1:$C$549=B8)*1),"")</f>
        <v>1</v>
      </c>
      <c r="S8" s="7">
        <f>IF(B8&lt;&gt;"",SUMPRODUCT((Resultados!$B$1:$B$549=14)*(Resultados!$C$1:$C$549=B8)*1),"")</f>
        <v>3</v>
      </c>
      <c r="T8" s="7">
        <f>IF(B8&lt;&gt;"",SUMPRODUCT((Resultados!$B$1:$B$549=15)*(Resultados!$C$1:$C$549=B8)*1),"")</f>
        <v>1</v>
      </c>
      <c r="U8" s="7">
        <f>IF(B8&lt;&gt;"",SUMPRODUCT((Resultados!$B$1:$B$549=16)*(Resultados!$C$1:$C$549=B8)*1),"")</f>
        <v>1</v>
      </c>
      <c r="V8" s="7">
        <f>IF(B8&lt;&gt;"",SUMPRODUCT((Resultados!$B$1:$B$549=17)*(Resultados!$C$1:$C$549=B8)*1),"")</f>
        <v>2</v>
      </c>
      <c r="W8" s="7">
        <f>IF(B8&lt;&gt;"",SUMPRODUCT((Resultados!$B$1:$B$549=18)*(Resultados!$C$1:$C$549=B8)*1),"")</f>
        <v>0</v>
      </c>
      <c r="X8" s="7">
        <f>IF(B8&lt;&gt;"",SUMPRODUCT((Resultados!$B$1:$B$549=19)*(Resultados!$C$1:$C$549=B8)*1),"")</f>
        <v>2</v>
      </c>
      <c r="Y8" s="7">
        <f>IF(B8&lt;&gt;"",SUMPRODUCT((Resultados!$B$1:$B$549=20)*(Resultados!$C$1:$C$549=B8)*1),"")</f>
        <v>0</v>
      </c>
      <c r="Z8" s="7">
        <f>IF(B8&lt;&gt;"",SUMPRODUCT((Resultados!$B$1:$B$549=21)*(Resultados!$C$1:$C$549=B8)*1),"")</f>
        <v>0</v>
      </c>
      <c r="AA8" s="7">
        <f>IF(B8&lt;&gt;"",SUMPRODUCT((Resultados!$B$1:$B$549=22)*(Resultados!$C$1:$C$549=B8)*1),"")</f>
        <v>0</v>
      </c>
      <c r="AB8" s="7">
        <f>IF(B8&lt;&gt;"",SUMPRODUCT((Resultados!$B$1:$B$549=23)*(Resultados!$C$1:$C$549=B8)*1),"")</f>
        <v>0</v>
      </c>
      <c r="AC8" s="7">
        <f>IF(B8&lt;&gt;"",SUMPRODUCT((Resultados!$B$1:$B$549=24)*(Resultados!$C$1:$C$549=B8)*1),"")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George Russell</v>
      </c>
      <c r="C9" s="1" t="str">
        <f>IF(B9&lt;&gt;"",VLOOKUP(B9,'Equipes e Pilotos'!$C$3:$F$30,3,FALSE),"")</f>
        <v>Inglaterra</v>
      </c>
      <c r="D9" s="1" t="str">
        <f>IF(B9&lt;&gt;"",VLOOKUP(B9,'Equipes e Pilotos'!$C$3:$F$30,4,FALSE),"")</f>
        <v>Mercedes</v>
      </c>
      <c r="E9" s="1">
        <f>IF(B9&lt;&gt;"",SUMIF(Resultados!C:C,B9,Resultados!F:F),"")</f>
        <v>309</v>
      </c>
      <c r="F9" s="7">
        <f>IF(B9&lt;&gt;"",SUMPRODUCT((Resultados!$B$1:$B$549=1)*(Resultados!$C$1:$C$549=B9)*1),"")</f>
        <v>1</v>
      </c>
      <c r="G9" s="7">
        <f>IF(B9&lt;&gt;"",SUMPRODUCT((Resultados!$B$1:$B$549=2)*(Resultados!$C$1:$C$549=B9)*1),"")</f>
        <v>2</v>
      </c>
      <c r="H9" s="7">
        <f>IF(B9&lt;&gt;"",SUMPRODUCT((Resultados!$B$1:$B$549=3)*(Resultados!$C$1:$C$549=B9)*1),"")</f>
        <v>4</v>
      </c>
      <c r="I9" s="7">
        <f>IF(B9&lt;&gt;"",SUMPRODUCT((Resultados!$B$1:$B$549=4)*(Resultados!$C$1:$C$549=B9)*1),"")</f>
        <v>4</v>
      </c>
      <c r="J9" s="7">
        <f>IF(B9&lt;&gt;"",SUMPRODUCT((Resultados!$B$1:$B$549=5)*(Resultados!$C$1:$C$549=B9)*1),"")</f>
        <v>5</v>
      </c>
      <c r="K9" s="7">
        <f>IF(B9&lt;&gt;"",SUMPRODUCT((Resultados!$B$1:$B$549=6)*(Resultados!$C$1:$C$549=B9)*1),"")</f>
        <v>0</v>
      </c>
      <c r="L9" s="7">
        <f>IF(B9&lt;&gt;"",SUMPRODUCT((Resultados!$B$1:$B$549=7)*(Resultados!$C$1:$C$549=B9)*1),"")</f>
        <v>1</v>
      </c>
      <c r="M9" s="7">
        <f>IF(B9&lt;&gt;"",SUMPRODUCT((Resultados!$B$1:$B$549=8)*(Resultados!$C$1:$C$549=B9)*1),"")</f>
        <v>0</v>
      </c>
      <c r="N9" s="7">
        <f>IF(B9&lt;&gt;"",SUMPRODUCT((Resultados!$B$1:$B$549=9)*(Resultados!$C$1:$C$549=B9)*1),"")</f>
        <v>0</v>
      </c>
      <c r="O9" s="7">
        <f>IF(B9&lt;&gt;"",SUMPRODUCT((Resultados!$B$1:$B$549=10)*(Resultados!$C$1:$C$549=B9)*1),"")</f>
        <v>1</v>
      </c>
      <c r="P9" s="7">
        <f>IF(B9&lt;&gt;"",SUMPRODUCT((Resultados!$B$1:$B$549=11)*(Resultados!$C$1:$C$549=B9)*1),"")</f>
        <v>1</v>
      </c>
      <c r="Q9" s="7">
        <f>IF(B9&lt;&gt;"",SUMPRODUCT((Resultados!$B$1:$B$549=12)*(Resultados!$C$1:$C$549=B9)*1),"")</f>
        <v>1</v>
      </c>
      <c r="R9" s="7">
        <f>IF(B9&lt;&gt;"",SUMPRODUCT((Resultados!$B$1:$B$549=13)*(Resultados!$C$1:$C$549=B9)*1),"")</f>
        <v>0</v>
      </c>
      <c r="S9" s="7">
        <f>IF(B9&lt;&gt;"",SUMPRODUCT((Resultados!$B$1:$B$549=14)*(Resultados!$C$1:$C$549=B9)*1),"")</f>
        <v>0</v>
      </c>
      <c r="T9" s="7">
        <f>IF(B9&lt;&gt;"",SUMPRODUCT((Resultados!$B$1:$B$549=15)*(Resultados!$C$1:$C$549=B9)*1),"")</f>
        <v>0</v>
      </c>
      <c r="U9" s="7">
        <f>IF(B9&lt;&gt;"",SUMPRODUCT((Resultados!$B$1:$B$549=16)*(Resultados!$C$1:$C$549=B9)*1),"")</f>
        <v>0</v>
      </c>
      <c r="V9" s="7">
        <f>IF(B9&lt;&gt;"",SUMPRODUCT((Resultados!$B$1:$B$549=17)*(Resultados!$C$1:$C$549=B9)*1),"")</f>
        <v>0</v>
      </c>
      <c r="W9" s="7">
        <f>IF(B9&lt;&gt;"",SUMPRODUCT((Resultados!$B$1:$B$549=18)*(Resultados!$C$1:$C$549=B9)*1),"")</f>
        <v>0</v>
      </c>
      <c r="X9" s="7">
        <f>IF(B9&lt;&gt;"",SUMPRODUCT((Resultados!$B$1:$B$549=19)*(Resultados!$C$1:$C$549=B9)*1),"")</f>
        <v>0</v>
      </c>
      <c r="Y9" s="7">
        <f>IF(B9&lt;&gt;"",SUMPRODUCT((Resultados!$B$1:$B$549=20)*(Resultados!$C$1:$C$549=B9)*1),"")</f>
        <v>0</v>
      </c>
      <c r="Z9" s="7">
        <f>IF(B9&lt;&gt;"",SUMPRODUCT((Resultados!$B$1:$B$549=21)*(Resultados!$C$1:$C$549=B9)*1),"")</f>
        <v>0</v>
      </c>
      <c r="AA9" s="7">
        <f>IF(B9&lt;&gt;"",SUMPRODUCT((Resultados!$B$1:$B$549=22)*(Resultados!$C$1:$C$549=B9)*1),"")</f>
        <v>0</v>
      </c>
      <c r="AB9" s="7">
        <f>IF(B9&lt;&gt;"",SUMPRODUCT((Resultados!$B$1:$B$549=23)*(Resultados!$C$1:$C$549=B9)*1),"")</f>
        <v>0</v>
      </c>
      <c r="AC9" s="7">
        <f>IF(B9&lt;&gt;"",SUMPRODUCT((Resultados!$B$1:$B$549=24)*(Resultados!$C$1:$C$549=B9)*1),"")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7</v>
      </c>
      <c r="B10" s="1" t="str">
        <f>IF('Equipes e Pilotos'!C10&lt;&gt;"",'Equipes e Pilotos'!C10,"")</f>
        <v>Kimi Antonelli</v>
      </c>
      <c r="C10" s="1" t="str">
        <f>IF(B10&lt;&gt;"",VLOOKUP(B10,'Equipes e Pilotos'!$C$3:$F$30,3,FALSE),"")</f>
        <v>Itália</v>
      </c>
      <c r="D10" s="1" t="str">
        <f>IF(B10&lt;&gt;"",VLOOKUP(B10,'Equipes e Pilotos'!$C$3:$F$30,4,FALSE),"")</f>
        <v>Mercedes</v>
      </c>
      <c r="E10" s="1">
        <f>IF(B10&lt;&gt;"",SUMIF(Resultados!C:C,B10,Resultados!F:F),"")</f>
        <v>150</v>
      </c>
      <c r="F10" s="7">
        <f>IF(B10&lt;&gt;"",SUMPRODUCT((Resultados!$B$1:$B$549=1)*(Resultados!$C$1:$C$549=B10)*1),"")</f>
        <v>0</v>
      </c>
      <c r="G10" s="7">
        <f>IF(B10&lt;&gt;"",SUMPRODUCT((Resultados!$B$1:$B$549=2)*(Resultados!$C$1:$C$549=B10)*1),"")</f>
        <v>0</v>
      </c>
      <c r="H10" s="7">
        <f>IF(B10&lt;&gt;"",SUMPRODUCT((Resultados!$B$1:$B$549=3)*(Resultados!$C$1:$C$549=B10)*1),"")</f>
        <v>1</v>
      </c>
      <c r="I10" s="7">
        <f>IF(B10&lt;&gt;"",SUMPRODUCT((Resultados!$B$1:$B$549=4)*(Resultados!$C$1:$C$549=B10)*1),"")</f>
        <v>2</v>
      </c>
      <c r="J10" s="7">
        <f>IF(B10&lt;&gt;"",SUMPRODUCT((Resultados!$B$1:$B$549=5)*(Resultados!$C$1:$C$549=B10)*1),"")</f>
        <v>0</v>
      </c>
      <c r="K10" s="7">
        <f>IF(B10&lt;&gt;"",SUMPRODUCT((Resultados!$B$1:$B$549=6)*(Resultados!$C$1:$C$549=B10)*1),"")</f>
        <v>4</v>
      </c>
      <c r="L10" s="7">
        <f>IF(B10&lt;&gt;"",SUMPRODUCT((Resultados!$B$1:$B$549=7)*(Resultados!$C$1:$C$549=B10)*1),"")</f>
        <v>2</v>
      </c>
      <c r="M10" s="7">
        <f>IF(B10&lt;&gt;"",SUMPRODUCT((Resultados!$B$1:$B$549=8)*(Resultados!$C$1:$C$549=B10)*1),"")</f>
        <v>0</v>
      </c>
      <c r="N10" s="7">
        <f>IF(B10&lt;&gt;"",SUMPRODUCT((Resultados!$B$1:$B$549=9)*(Resultados!$C$1:$C$549=B10)*1),"")</f>
        <v>1</v>
      </c>
      <c r="O10" s="7">
        <f>IF(B10&lt;&gt;"",SUMPRODUCT((Resultados!$B$1:$B$549=10)*(Resultados!$C$1:$C$549=B10)*1),"")</f>
        <v>1</v>
      </c>
      <c r="P10" s="7">
        <f>IF(B10&lt;&gt;"",SUMPRODUCT((Resultados!$B$1:$B$549=11)*(Resultados!$C$1:$C$549=B10)*1),"")</f>
        <v>1</v>
      </c>
      <c r="Q10" s="7">
        <f>IF(B10&lt;&gt;"",SUMPRODUCT((Resultados!$B$1:$B$549=12)*(Resultados!$C$1:$C$549=B10)*1),"")</f>
        <v>0</v>
      </c>
      <c r="R10" s="7">
        <f>IF(B10&lt;&gt;"",SUMPRODUCT((Resultados!$B$1:$B$549=13)*(Resultados!$C$1:$C$549=B10)*1),"")</f>
        <v>0</v>
      </c>
      <c r="S10" s="7">
        <f>IF(B10&lt;&gt;"",SUMPRODUCT((Resultados!$B$1:$B$549=14)*(Resultados!$C$1:$C$549=B10)*1),"")</f>
        <v>0</v>
      </c>
      <c r="T10" s="7">
        <f>IF(B10&lt;&gt;"",SUMPRODUCT((Resultados!$B$1:$B$549=15)*(Resultados!$C$1:$C$549=B10)*1),"")</f>
        <v>0</v>
      </c>
      <c r="U10" s="7">
        <f>IF(B10&lt;&gt;"",SUMPRODUCT((Resultados!$B$1:$B$549=16)*(Resultados!$C$1:$C$549=B10)*1),"")</f>
        <v>3</v>
      </c>
      <c r="V10" s="7">
        <f>IF(B10&lt;&gt;"",SUMPRODUCT((Resultados!$B$1:$B$549=17)*(Resultados!$C$1:$C$549=B10)*1),"")</f>
        <v>1</v>
      </c>
      <c r="W10" s="7">
        <f>IF(B10&lt;&gt;"",SUMPRODUCT((Resultados!$B$1:$B$549=18)*(Resultados!$C$1:$C$549=B10)*1),"")</f>
        <v>2</v>
      </c>
      <c r="X10" s="7">
        <f>IF(B10&lt;&gt;"",SUMPRODUCT((Resultados!$B$1:$B$549=19)*(Resultados!$C$1:$C$549=B10)*1),"")</f>
        <v>2</v>
      </c>
      <c r="Y10" s="7">
        <f>IF(B10&lt;&gt;"",SUMPRODUCT((Resultados!$B$1:$B$549=20)*(Resultados!$C$1:$C$549=B10)*1),"")</f>
        <v>0</v>
      </c>
      <c r="Z10" s="7">
        <f>IF(B10&lt;&gt;"",SUMPRODUCT((Resultados!$B$1:$B$549=21)*(Resultados!$C$1:$C$549=B10)*1),"")</f>
        <v>0</v>
      </c>
      <c r="AA10" s="7">
        <f>IF(B10&lt;&gt;"",SUMPRODUCT((Resultados!$B$1:$B$549=22)*(Resultados!$C$1:$C$549=B10)*1),"")</f>
        <v>0</v>
      </c>
      <c r="AB10" s="7">
        <f>IF(B10&lt;&gt;"",SUMPRODUCT((Resultados!$B$1:$B$549=23)*(Resultados!$C$1:$C$549=B10)*1),"")</f>
        <v>0</v>
      </c>
      <c r="AC10" s="7">
        <f>IF(B10&lt;&gt;"",SUMPRODUCT((Resultados!$B$1:$B$549=24)*(Resultados!$C$1:$C$549=B10)*1),"")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Lance Stroll</v>
      </c>
      <c r="C11" s="1" t="str">
        <f>IF(B11&lt;&gt;"",VLOOKUP(B11,'Equipes e Pilotos'!$C$3:$F$30,3,FALSE),"")</f>
        <v>Canadá</v>
      </c>
      <c r="D11" s="1" t="str">
        <f>IF(B11&lt;&gt;"",VLOOKUP(B11,'Equipes e Pilotos'!$C$3:$F$30,4,FALSE),"")</f>
        <v>Aston Martin</v>
      </c>
      <c r="E11" s="1">
        <f>IF(B11&lt;&gt;"",SUMIF(Resultados!C:C,B11,Resultados!F:F),"")</f>
        <v>32</v>
      </c>
      <c r="F11" s="7">
        <f>IF(B11&lt;&gt;"",SUMPRODUCT((Resultados!$B$1:$B$549=1)*(Resultados!$C$1:$C$549=B11)*1),"")</f>
        <v>0</v>
      </c>
      <c r="G11" s="7">
        <f>IF(B11&lt;&gt;"",SUMPRODUCT((Resultados!$B$1:$B$549=2)*(Resultados!$C$1:$C$549=B11)*1),"")</f>
        <v>0</v>
      </c>
      <c r="H11" s="7">
        <f>IF(B11&lt;&gt;"",SUMPRODUCT((Resultados!$B$1:$B$549=3)*(Resultados!$C$1:$C$549=B11)*1),"")</f>
        <v>0</v>
      </c>
      <c r="I11" s="7">
        <f>IF(B11&lt;&gt;"",SUMPRODUCT((Resultados!$B$1:$B$549=4)*(Resultados!$C$1:$C$549=B11)*1),"")</f>
        <v>0</v>
      </c>
      <c r="J11" s="7">
        <f>IF(B11&lt;&gt;"",SUMPRODUCT((Resultados!$B$1:$B$549=5)*(Resultados!$C$1:$C$549=B11)*1),"")</f>
        <v>1</v>
      </c>
      <c r="K11" s="7">
        <f>IF(B11&lt;&gt;"",SUMPRODUCT((Resultados!$B$1:$B$549=6)*(Resultados!$C$1:$C$549=B11)*1),"")</f>
        <v>1</v>
      </c>
      <c r="L11" s="7">
        <f>IF(B11&lt;&gt;"",SUMPRODUCT((Resultados!$B$1:$B$549=7)*(Resultados!$C$1:$C$549=B11)*1),"")</f>
        <v>3</v>
      </c>
      <c r="M11" s="7">
        <f>IF(B11&lt;&gt;"",SUMPRODUCT((Resultados!$B$1:$B$549=8)*(Resultados!$C$1:$C$549=B11)*1),"")</f>
        <v>0</v>
      </c>
      <c r="N11" s="7">
        <f>IF(B11&lt;&gt;"",SUMPRODUCT((Resultados!$B$1:$B$549=9)*(Resultados!$C$1:$C$549=B11)*1),"")</f>
        <v>2</v>
      </c>
      <c r="O11" s="7">
        <f>IF(B11&lt;&gt;"",SUMPRODUCT((Resultados!$B$1:$B$549=10)*(Resultados!$C$1:$C$549=B11)*1),"")</f>
        <v>0</v>
      </c>
      <c r="P11" s="7">
        <f>IF(B11&lt;&gt;"",SUMPRODUCT((Resultados!$B$1:$B$549=11)*(Resultados!$C$1:$C$549=B11)*1),"")</f>
        <v>0</v>
      </c>
      <c r="Q11" s="7">
        <f>IF(B11&lt;&gt;"",SUMPRODUCT((Resultados!$B$1:$B$549=12)*(Resultados!$C$1:$C$549=B11)*1),"")</f>
        <v>0</v>
      </c>
      <c r="R11" s="7">
        <f>IF(B11&lt;&gt;"",SUMPRODUCT((Resultados!$B$1:$B$549=13)*(Resultados!$C$1:$C$549=B11)*1),"")</f>
        <v>1</v>
      </c>
      <c r="S11" s="7">
        <f>IF(B11&lt;&gt;"",SUMPRODUCT((Resultados!$B$1:$B$549=14)*(Resultados!$C$1:$C$549=B11)*1),"")</f>
        <v>2</v>
      </c>
      <c r="T11" s="7">
        <f>IF(B11&lt;&gt;"",SUMPRODUCT((Resultados!$B$1:$B$549=15)*(Resultados!$C$1:$C$549=B11)*1),"")</f>
        <v>2</v>
      </c>
      <c r="U11" s="7">
        <f>IF(B11&lt;&gt;"",SUMPRODUCT((Resultados!$B$1:$B$549=16)*(Resultados!$C$1:$C$549=B11)*1),"")</f>
        <v>2</v>
      </c>
      <c r="V11" s="7">
        <f>IF(B11&lt;&gt;"",SUMPRODUCT((Resultados!$B$1:$B$549=17)*(Resultados!$C$1:$C$549=B11)*1),"")</f>
        <v>3</v>
      </c>
      <c r="W11" s="7">
        <f>IF(B11&lt;&gt;"",SUMPRODUCT((Resultados!$B$1:$B$549=18)*(Resultados!$C$1:$C$549=B11)*1),"")</f>
        <v>1</v>
      </c>
      <c r="X11" s="7">
        <f>IF(B11&lt;&gt;"",SUMPRODUCT((Resultados!$B$1:$B$549=19)*(Resultados!$C$1:$C$549=B11)*1),"")</f>
        <v>0</v>
      </c>
      <c r="Y11" s="7">
        <f>IF(B11&lt;&gt;"",SUMPRODUCT((Resultados!$B$1:$B$549=20)*(Resultados!$C$1:$C$549=B11)*1),"")</f>
        <v>2</v>
      </c>
      <c r="Z11" s="7">
        <f>IF(B11&lt;&gt;"",SUMPRODUCT((Resultados!$B$1:$B$549=21)*(Resultados!$C$1:$C$549=B11)*1),"")</f>
        <v>0</v>
      </c>
      <c r="AA11" s="7">
        <f>IF(B11&lt;&gt;"",SUMPRODUCT((Resultados!$B$1:$B$549=22)*(Resultados!$C$1:$C$549=B11)*1),"")</f>
        <v>0</v>
      </c>
      <c r="AB11" s="7">
        <f>IF(B11&lt;&gt;"",SUMPRODUCT((Resultados!$B$1:$B$549=23)*(Resultados!$C$1:$C$549=B11)*1),"")</f>
        <v>0</v>
      </c>
      <c r="AC11" s="7">
        <f>IF(B11&lt;&gt;"",SUMPRODUCT((Resultados!$B$1:$B$549=24)*(Resultados!$C$1:$C$549=B11)*1),"")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1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12</v>
      </c>
      <c r="B12" s="1" t="str">
        <f>IF('Equipes e Pilotos'!C12&lt;&gt;"",'Equipes e Pilotos'!C12,"")</f>
        <v>Fernando Alonso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Aston Martin</v>
      </c>
      <c r="E12" s="1">
        <f>IF(B12&lt;&gt;"",SUMIF(Resultados!C:C,B12,Resultados!F:F),"")</f>
        <v>48</v>
      </c>
      <c r="F12" s="7">
        <f>IF(B12&lt;&gt;"",SUMPRODUCT((Resultados!$B$1:$B$549=1)*(Resultados!$C$1:$C$549=B12)*1),"")</f>
        <v>0</v>
      </c>
      <c r="G12" s="7">
        <f>IF(B12&lt;&gt;"",SUMPRODUCT((Resultados!$B$1:$B$549=2)*(Resultados!$C$1:$C$549=B12)*1),"")</f>
        <v>0</v>
      </c>
      <c r="H12" s="7">
        <f>IF(B12&lt;&gt;"",SUMPRODUCT((Resultados!$B$1:$B$549=3)*(Resultados!$C$1:$C$549=B12)*1),"")</f>
        <v>0</v>
      </c>
      <c r="I12" s="7">
        <f>IF(B12&lt;&gt;"",SUMPRODUCT((Resultados!$B$1:$B$549=4)*(Resultados!$C$1:$C$549=B12)*1),"")</f>
        <v>0</v>
      </c>
      <c r="J12" s="7">
        <f>IF(B12&lt;&gt;"",SUMPRODUCT((Resultados!$B$1:$B$549=5)*(Resultados!$C$1:$C$549=B12)*1),"")</f>
        <v>1</v>
      </c>
      <c r="K12" s="7">
        <f>IF(B12&lt;&gt;"",SUMPRODUCT((Resultados!$B$1:$B$549=6)*(Resultados!$C$1:$C$549=B12)*1),"")</f>
        <v>0</v>
      </c>
      <c r="L12" s="7">
        <f>IF(B12&lt;&gt;"",SUMPRODUCT((Resultados!$B$1:$B$549=7)*(Resultados!$C$1:$C$549=B12)*1),"")</f>
        <v>2</v>
      </c>
      <c r="M12" s="7">
        <f>IF(B12&lt;&gt;"",SUMPRODUCT((Resultados!$B$1:$B$549=8)*(Resultados!$C$1:$C$549=B12)*1),"")</f>
        <v>1</v>
      </c>
      <c r="N12" s="7">
        <f>IF(B12&lt;&gt;"",SUMPRODUCT((Resultados!$B$1:$B$549=9)*(Resultados!$C$1:$C$549=B12)*1),"")</f>
        <v>2</v>
      </c>
      <c r="O12" s="7">
        <f>IF(B12&lt;&gt;"",SUMPRODUCT((Resultados!$B$1:$B$549=10)*(Resultados!$C$1:$C$549=B12)*1),"")</f>
        <v>1</v>
      </c>
      <c r="P12" s="7">
        <f>IF(B12&lt;&gt;"",SUMPRODUCT((Resultados!$B$1:$B$549=11)*(Resultados!$C$1:$C$549=B12)*1),"")</f>
        <v>3</v>
      </c>
      <c r="Q12" s="7">
        <f>IF(B12&lt;&gt;"",SUMPRODUCT((Resultados!$B$1:$B$549=12)*(Resultados!$C$1:$C$549=B12)*1),"")</f>
        <v>0</v>
      </c>
      <c r="R12" s="7">
        <f>IF(B12&lt;&gt;"",SUMPRODUCT((Resultados!$B$1:$B$549=13)*(Resultados!$C$1:$C$549=B12)*1),"")</f>
        <v>0</v>
      </c>
      <c r="S12" s="7">
        <f>IF(B12&lt;&gt;"",SUMPRODUCT((Resultados!$B$1:$B$549=14)*(Resultados!$C$1:$C$549=B12)*1),"")</f>
        <v>1</v>
      </c>
      <c r="T12" s="7">
        <f>IF(B12&lt;&gt;"",SUMPRODUCT((Resultados!$B$1:$B$549=15)*(Resultados!$C$1:$C$549=B12)*1),"")</f>
        <v>3</v>
      </c>
      <c r="U12" s="7">
        <f>IF(B12&lt;&gt;"",SUMPRODUCT((Resultados!$B$1:$B$549=16)*(Resultados!$C$1:$C$549=B12)*1),"")</f>
        <v>0</v>
      </c>
      <c r="V12" s="7">
        <f>IF(B12&lt;&gt;"",SUMPRODUCT((Resultados!$B$1:$B$549=17)*(Resultados!$C$1:$C$549=B12)*1),"")</f>
        <v>3</v>
      </c>
      <c r="W12" s="7">
        <f>IF(B12&lt;&gt;"",SUMPRODUCT((Resultados!$B$1:$B$549=18)*(Resultados!$C$1:$C$549=B12)*1),"")</f>
        <v>1</v>
      </c>
      <c r="X12" s="7">
        <f>IF(B12&lt;&gt;"",SUMPRODUCT((Resultados!$B$1:$B$549=19)*(Resultados!$C$1:$C$549=B12)*1),"")</f>
        <v>2</v>
      </c>
      <c r="Y12" s="7">
        <f>IF(B12&lt;&gt;"",SUMPRODUCT((Resultados!$B$1:$B$549=20)*(Resultados!$C$1:$C$549=B12)*1),"")</f>
        <v>0</v>
      </c>
      <c r="Z12" s="7">
        <f>IF(B12&lt;&gt;"",SUMPRODUCT((Resultados!$B$1:$B$549=21)*(Resultados!$C$1:$C$549=B12)*1),"")</f>
        <v>0</v>
      </c>
      <c r="AA12" s="7">
        <f>IF(B12&lt;&gt;"",SUMPRODUCT((Resultados!$B$1:$B$549=22)*(Resultados!$C$1:$C$549=B12)*1),"")</f>
        <v>0</v>
      </c>
      <c r="AB12" s="7">
        <f>IF(B12&lt;&gt;"",SUMPRODUCT((Resultados!$B$1:$B$549=23)*(Resultados!$C$1:$C$549=B12)*1),"")</f>
        <v>0</v>
      </c>
      <c r="AC12" s="7">
        <f>IF(B12&lt;&gt;"",SUMPRODUCT((Resultados!$B$1:$B$549=24)*(Resultados!$C$1:$C$549=B12)*1),"")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18</v>
      </c>
      <c r="B13" s="1" t="str">
        <f>IF('Equipes e Pilotos'!C13&lt;&gt;"",'Equipes e Pilotos'!C13,"")</f>
        <v>Pierre Gasly</v>
      </c>
      <c r="C13" s="1" t="str">
        <f>IF(B13&lt;&gt;"",VLOOKUP(B13,'Equipes e Pilotos'!$C$3:$F$30,3,FALSE),"")</f>
        <v>França</v>
      </c>
      <c r="D13" s="1" t="str">
        <f>IF(B13&lt;&gt;"",VLOOKUP(B13,'Equipes e Pilotos'!$C$3:$F$30,4,FALSE),"")</f>
        <v>Alpine</v>
      </c>
      <c r="E13" s="1">
        <f>IF(B13&lt;&gt;"",SUMIF(Resultados!C:C,B13,Resultados!F:F),"")</f>
        <v>22</v>
      </c>
      <c r="F13" s="7">
        <f>IF(B13&lt;&gt;"",SUMPRODUCT((Resultados!$B$1:$B$549=1)*(Resultados!$C$1:$C$549=B13)*1),"")</f>
        <v>0</v>
      </c>
      <c r="G13" s="7">
        <f>IF(B13&lt;&gt;"",SUMPRODUCT((Resultados!$B$1:$B$549=2)*(Resultados!$C$1:$C$549=B13)*1),"")</f>
        <v>0</v>
      </c>
      <c r="H13" s="7">
        <f>IF(B13&lt;&gt;"",SUMPRODUCT((Resultados!$B$1:$B$549=3)*(Resultados!$C$1:$C$549=B13)*1),"")</f>
        <v>0</v>
      </c>
      <c r="I13" s="7">
        <f>IF(B13&lt;&gt;"",SUMPRODUCT((Resultados!$B$1:$B$549=4)*(Resultados!$C$1:$C$549=B13)*1),"")</f>
        <v>0</v>
      </c>
      <c r="J13" s="7">
        <f>IF(B13&lt;&gt;"",SUMPRODUCT((Resultados!$B$1:$B$549=5)*(Resultados!$C$1:$C$549=B13)*1),"")</f>
        <v>0</v>
      </c>
      <c r="K13" s="7">
        <f>IF(B13&lt;&gt;"",SUMPRODUCT((Resultados!$B$1:$B$549=6)*(Resultados!$C$1:$C$549=B13)*1),"")</f>
        <v>1</v>
      </c>
      <c r="L13" s="7">
        <f>IF(B13&lt;&gt;"",SUMPRODUCT((Resultados!$B$1:$B$549=7)*(Resultados!$C$1:$C$549=B13)*1),"")</f>
        <v>1</v>
      </c>
      <c r="M13" s="7">
        <f>IF(B13&lt;&gt;"",SUMPRODUCT((Resultados!$B$1:$B$549=8)*(Resultados!$C$1:$C$549=B13)*1),"")</f>
        <v>2</v>
      </c>
      <c r="N13" s="7">
        <f>IF(B13&lt;&gt;"",SUMPRODUCT((Resultados!$B$1:$B$549=9)*(Resultados!$C$1:$C$549=B13)*1),"")</f>
        <v>0</v>
      </c>
      <c r="O13" s="7">
        <f>IF(B13&lt;&gt;"",SUMPRODUCT((Resultados!$B$1:$B$549=10)*(Resultados!$C$1:$C$549=B13)*1),"")</f>
        <v>1</v>
      </c>
      <c r="P13" s="7">
        <f>IF(B13&lt;&gt;"",SUMPRODUCT((Resultados!$B$1:$B$549=11)*(Resultados!$C$1:$C$549=B13)*1),"")</f>
        <v>1</v>
      </c>
      <c r="Q13" s="7">
        <f>IF(B13&lt;&gt;"",SUMPRODUCT((Resultados!$B$1:$B$549=12)*(Resultados!$C$1:$C$549=B13)*1),"")</f>
        <v>1</v>
      </c>
      <c r="R13" s="7">
        <f>IF(B13&lt;&gt;"",SUMPRODUCT((Resultados!$B$1:$B$549=13)*(Resultados!$C$1:$C$549=B13)*1),"")</f>
        <v>4</v>
      </c>
      <c r="S13" s="7">
        <f>IF(B13&lt;&gt;"",SUMPRODUCT((Resultados!$B$1:$B$549=14)*(Resultados!$C$1:$C$549=B13)*1),"")</f>
        <v>0</v>
      </c>
      <c r="T13" s="7">
        <f>IF(B13&lt;&gt;"",SUMPRODUCT((Resultados!$B$1:$B$549=15)*(Resultados!$C$1:$C$549=B13)*1),"")</f>
        <v>1</v>
      </c>
      <c r="U13" s="7">
        <f>IF(B13&lt;&gt;"",SUMPRODUCT((Resultados!$B$1:$B$549=16)*(Resultados!$C$1:$C$549=B13)*1),"")</f>
        <v>1</v>
      </c>
      <c r="V13" s="7">
        <f>IF(B13&lt;&gt;"",SUMPRODUCT((Resultados!$B$1:$B$549=17)*(Resultados!$C$1:$C$549=B13)*1),"")</f>
        <v>1</v>
      </c>
      <c r="W13" s="7">
        <f>IF(B13&lt;&gt;"",SUMPRODUCT((Resultados!$B$1:$B$549=18)*(Resultados!$C$1:$C$549=B13)*1),"")</f>
        <v>1</v>
      </c>
      <c r="X13" s="7">
        <f>IF(B13&lt;&gt;"",SUMPRODUCT((Resultados!$B$1:$B$549=19)*(Resultados!$C$1:$C$549=B13)*1),"")</f>
        <v>1</v>
      </c>
      <c r="Y13" s="7">
        <f>IF(B13&lt;&gt;"",SUMPRODUCT((Resultados!$B$1:$B$549=20)*(Resultados!$C$1:$C$549=B13)*1),"")</f>
        <v>4</v>
      </c>
      <c r="Z13" s="7">
        <f>IF(B13&lt;&gt;"",SUMPRODUCT((Resultados!$B$1:$B$549=21)*(Resultados!$C$1:$C$549=B13)*1),"")</f>
        <v>0</v>
      </c>
      <c r="AA13" s="7">
        <f>IF(B13&lt;&gt;"",SUMPRODUCT((Resultados!$B$1:$B$549=22)*(Resultados!$C$1:$C$549=B13)*1),"")</f>
        <v>0</v>
      </c>
      <c r="AB13" s="7">
        <f>IF(B13&lt;&gt;"",SUMPRODUCT((Resultados!$B$1:$B$549=23)*(Resultados!$C$1:$C$549=B13)*1),"")</f>
        <v>0</v>
      </c>
      <c r="AC13" s="7">
        <f>IF(B13&lt;&gt;"",SUMPRODUCT((Resultados!$B$1:$B$549=24)*(Resultados!$C$1:$C$549=B13)*1),"")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21</v>
      </c>
      <c r="B14" s="1" t="str">
        <f>IF('Equipes e Pilotos'!C14&lt;&gt;"",'Equipes e Pilotos'!C14,"")</f>
        <v>Jack Doohan</v>
      </c>
      <c r="C14" s="1" t="str">
        <f>IF(B14&lt;&gt;"",VLOOKUP(B14,'Equipes e Pilotos'!$C$3:$F$30,3,FALSE),"")</f>
        <v>Austrália</v>
      </c>
      <c r="D14" s="1" t="str">
        <f>IF(B14&lt;&gt;"",VLOOKUP(B14,'Equipes e Pilotos'!$C$3:$F$30,4,FALSE),"")</f>
        <v>Alpine</v>
      </c>
      <c r="E14" s="1">
        <f>IF(B14&lt;&gt;"",SUMIF(Resultados!C:C,B14,Resultados!F:F),"")</f>
        <v>0</v>
      </c>
      <c r="F14" s="7">
        <f>IF(B14&lt;&gt;"",SUMPRODUCT((Resultados!$B$1:$B$549=1)*(Resultados!$C$1:$C$549=B14)*1),"")</f>
        <v>0</v>
      </c>
      <c r="G14" s="7">
        <f>IF(B14&lt;&gt;"",SUMPRODUCT((Resultados!$B$1:$B$549=2)*(Resultados!$C$1:$C$549=B14)*1),"")</f>
        <v>0</v>
      </c>
      <c r="H14" s="7">
        <f>IF(B14&lt;&gt;"",SUMPRODUCT((Resultados!$B$1:$B$549=3)*(Resultados!$C$1:$C$549=B14)*1),"")</f>
        <v>0</v>
      </c>
      <c r="I14" s="7">
        <f>IF(B14&lt;&gt;"",SUMPRODUCT((Resultados!$B$1:$B$549=4)*(Resultados!$C$1:$C$549=B14)*1),"")</f>
        <v>0</v>
      </c>
      <c r="J14" s="7">
        <f>IF(B14&lt;&gt;"",SUMPRODUCT((Resultados!$B$1:$B$549=5)*(Resultados!$C$1:$C$549=B14)*1),"")</f>
        <v>0</v>
      </c>
      <c r="K14" s="7">
        <f>IF(B14&lt;&gt;"",SUMPRODUCT((Resultados!$B$1:$B$549=6)*(Resultados!$C$1:$C$549=B14)*1),"")</f>
        <v>0</v>
      </c>
      <c r="L14" s="7">
        <f>IF(B14&lt;&gt;"",SUMPRODUCT((Resultados!$B$1:$B$549=7)*(Resultados!$C$1:$C$549=B14)*1),"")</f>
        <v>0</v>
      </c>
      <c r="M14" s="7">
        <f>IF(B14&lt;&gt;"",SUMPRODUCT((Resultados!$B$1:$B$549=8)*(Resultados!$C$1:$C$549=B14)*1),"")</f>
        <v>0</v>
      </c>
      <c r="N14" s="7">
        <f>IF(B14&lt;&gt;"",SUMPRODUCT((Resultados!$B$1:$B$549=9)*(Resultados!$C$1:$C$549=B14)*1),"")</f>
        <v>0</v>
      </c>
      <c r="O14" s="7">
        <f>IF(B14&lt;&gt;"",SUMPRODUCT((Resultados!$B$1:$B$549=10)*(Resultados!$C$1:$C$549=B14)*1),"")</f>
        <v>0</v>
      </c>
      <c r="P14" s="7">
        <f>IF(B14&lt;&gt;"",SUMPRODUCT((Resultados!$B$1:$B$549=11)*(Resultados!$C$1:$C$549=B14)*1),"")</f>
        <v>0</v>
      </c>
      <c r="Q14" s="7">
        <f>IF(B14&lt;&gt;"",SUMPRODUCT((Resultados!$B$1:$B$549=12)*(Resultados!$C$1:$C$549=B14)*1),"")</f>
        <v>0</v>
      </c>
      <c r="R14" s="7">
        <f>IF(B14&lt;&gt;"",SUMPRODUCT((Resultados!$B$1:$B$549=13)*(Resultados!$C$1:$C$549=B14)*1),"")</f>
        <v>1</v>
      </c>
      <c r="S14" s="7">
        <f>IF(B14&lt;&gt;"",SUMPRODUCT((Resultados!$B$1:$B$549=14)*(Resultados!$C$1:$C$549=B14)*1),"")</f>
        <v>1</v>
      </c>
      <c r="T14" s="7">
        <f>IF(B14&lt;&gt;"",SUMPRODUCT((Resultados!$B$1:$B$549=15)*(Resultados!$C$1:$C$549=B14)*1),"")</f>
        <v>1</v>
      </c>
      <c r="U14" s="7">
        <f>IF(B14&lt;&gt;"",SUMPRODUCT((Resultados!$B$1:$B$549=16)*(Resultados!$C$1:$C$549=B14)*1),"")</f>
        <v>1</v>
      </c>
      <c r="V14" s="7">
        <f>IF(B14&lt;&gt;"",SUMPRODUCT((Resultados!$B$1:$B$549=17)*(Resultados!$C$1:$C$549=B14)*1),"")</f>
        <v>1</v>
      </c>
      <c r="W14" s="7">
        <f>IF(B14&lt;&gt;"",SUMPRODUCT((Resultados!$B$1:$B$549=18)*(Resultados!$C$1:$C$549=B14)*1),"")</f>
        <v>0</v>
      </c>
      <c r="X14" s="7">
        <f>IF(B14&lt;&gt;"",SUMPRODUCT((Resultados!$B$1:$B$549=19)*(Resultados!$C$1:$C$549=B14)*1),"")</f>
        <v>1</v>
      </c>
      <c r="Y14" s="7">
        <f>IF(B14&lt;&gt;"",SUMPRODUCT((Resultados!$B$1:$B$549=20)*(Resultados!$C$1:$C$549=B14)*1),"")</f>
        <v>2</v>
      </c>
      <c r="Z14" s="7">
        <f>IF(B14&lt;&gt;"",SUMPRODUCT((Resultados!$B$1:$B$549=21)*(Resultados!$C$1:$C$549=B14)*1),"")</f>
        <v>0</v>
      </c>
      <c r="AA14" s="7">
        <f>IF(B14&lt;&gt;"",SUMPRODUCT((Resultados!$B$1:$B$549=22)*(Resultados!$C$1:$C$549=B14)*1),"")</f>
        <v>0</v>
      </c>
      <c r="AB14" s="7">
        <f>IF(B14&lt;&gt;"",SUMPRODUCT((Resultados!$B$1:$B$549=23)*(Resultados!$C$1:$C$549=B14)*1),"")</f>
        <v>0</v>
      </c>
      <c r="AC14" s="7">
        <f>IF(B14&lt;&gt;"",SUMPRODUCT((Resultados!$B$1:$B$549=24)*(Resultados!$C$1:$C$549=B14)*1),"")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1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32</v>
      </c>
      <c r="F15" s="7">
        <f>IF(B15&lt;&gt;"",SUMPRODUCT((Resultados!$B$1:$B$549=1)*(Resultados!$C$1:$C$549=B15)*1),"")</f>
        <v>0</v>
      </c>
      <c r="G15" s="7">
        <f>IF(B15&lt;&gt;"",SUMPRODUCT((Resultados!$B$1:$B$549=2)*(Resultados!$C$1:$C$549=B15)*1),"")</f>
        <v>0</v>
      </c>
      <c r="H15" s="7">
        <f>IF(B15&lt;&gt;"",SUMPRODUCT((Resultados!$B$1:$B$549=3)*(Resultados!$C$1:$C$549=B15)*1),"")</f>
        <v>0</v>
      </c>
      <c r="I15" s="7">
        <f>IF(B15&lt;&gt;"",SUMPRODUCT((Resultados!$B$1:$B$549=4)*(Resultados!$C$1:$C$549=B15)*1),"")</f>
        <v>0</v>
      </c>
      <c r="J15" s="7">
        <f>IF(B15&lt;&gt;"",SUMPRODUCT((Resultados!$B$1:$B$549=5)*(Resultados!$C$1:$C$549=B15)*1),"")</f>
        <v>2</v>
      </c>
      <c r="K15" s="7">
        <f>IF(B15&lt;&gt;"",SUMPRODUCT((Resultados!$B$1:$B$549=6)*(Resultados!$C$1:$C$549=B15)*1),"")</f>
        <v>0</v>
      </c>
      <c r="L15" s="7">
        <f>IF(B15&lt;&gt;"",SUMPRODUCT((Resultados!$B$1:$B$549=7)*(Resultados!$C$1:$C$549=B15)*1),"")</f>
        <v>1</v>
      </c>
      <c r="M15" s="7">
        <f>IF(B15&lt;&gt;"",SUMPRODUCT((Resultados!$B$1:$B$549=8)*(Resultados!$C$1:$C$549=B15)*1),"")</f>
        <v>1</v>
      </c>
      <c r="N15" s="7">
        <f>IF(B15&lt;&gt;"",SUMPRODUCT((Resultados!$B$1:$B$549=9)*(Resultados!$C$1:$C$549=B15)*1),"")</f>
        <v>1</v>
      </c>
      <c r="O15" s="7">
        <f>IF(B15&lt;&gt;"",SUMPRODUCT((Resultados!$B$1:$B$549=10)*(Resultados!$C$1:$C$549=B15)*1),"")</f>
        <v>2</v>
      </c>
      <c r="P15" s="7">
        <f>IF(B15&lt;&gt;"",SUMPRODUCT((Resultados!$B$1:$B$549=11)*(Resultados!$C$1:$C$549=B15)*1),"")</f>
        <v>0</v>
      </c>
      <c r="Q15" s="7">
        <f>IF(B15&lt;&gt;"",SUMPRODUCT((Resultados!$B$1:$B$549=12)*(Resultados!$C$1:$C$549=B15)*1),"")</f>
        <v>2</v>
      </c>
      <c r="R15" s="7">
        <f>IF(B15&lt;&gt;"",SUMPRODUCT((Resultados!$B$1:$B$549=13)*(Resultados!$C$1:$C$549=B15)*1),"")</f>
        <v>2</v>
      </c>
      <c r="S15" s="7">
        <f>IF(B15&lt;&gt;"",SUMPRODUCT((Resultados!$B$1:$B$549=14)*(Resultados!$C$1:$C$549=B15)*1),"")</f>
        <v>2</v>
      </c>
      <c r="T15" s="7">
        <f>IF(B15&lt;&gt;"",SUMPRODUCT((Resultados!$B$1:$B$549=15)*(Resultados!$C$1:$C$549=B15)*1),"")</f>
        <v>2</v>
      </c>
      <c r="U15" s="7">
        <f>IF(B15&lt;&gt;"",SUMPRODUCT((Resultados!$B$1:$B$549=16)*(Resultados!$C$1:$C$549=B15)*1),"")</f>
        <v>3</v>
      </c>
      <c r="V15" s="7">
        <f>IF(B15&lt;&gt;"",SUMPRODUCT((Resultados!$B$1:$B$549=17)*(Resultados!$C$1:$C$549=B15)*1),"")</f>
        <v>0</v>
      </c>
      <c r="W15" s="7">
        <f>IF(B15&lt;&gt;"",SUMPRODUCT((Resultados!$B$1:$B$549=18)*(Resultados!$C$1:$C$549=B15)*1),"")</f>
        <v>1</v>
      </c>
      <c r="X15" s="7">
        <f>IF(B15&lt;&gt;"",SUMPRODUCT((Resultados!$B$1:$B$549=19)*(Resultados!$C$1:$C$549=B15)*1),"")</f>
        <v>0</v>
      </c>
      <c r="Y15" s="7">
        <f>IF(B15&lt;&gt;"",SUMPRODUCT((Resultados!$B$1:$B$549=20)*(Resultados!$C$1:$C$549=B15)*1),"")</f>
        <v>1</v>
      </c>
      <c r="Z15" s="7">
        <f>IF(B15&lt;&gt;"",SUMPRODUCT((Resultados!$B$1:$B$549=21)*(Resultados!$C$1:$C$549=B15)*1),"")</f>
        <v>0</v>
      </c>
      <c r="AA15" s="7">
        <f>IF(B15&lt;&gt;"",SUMPRODUCT((Resultados!$B$1:$B$549=22)*(Resultados!$C$1:$C$549=B15)*1),"")</f>
        <v>0</v>
      </c>
      <c r="AB15" s="7">
        <f>IF(B15&lt;&gt;"",SUMPRODUCT((Resultados!$B$1:$B$549=23)*(Resultados!$C$1:$C$549=B15)*1),"")</f>
        <v>0</v>
      </c>
      <c r="AC15" s="7">
        <f>IF(B15&lt;&gt;"",SUMPRODUCT((Resultados!$B$1:$B$549=24)*(Resultados!$C$1:$C$549=B15)*1),"")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41</v>
      </c>
      <c r="F16" s="7">
        <f>IF(B16&lt;&gt;"",SUMPRODUCT((Resultados!$B$1:$B$549=1)*(Resultados!$C$1:$C$549=B16)*1),"")</f>
        <v>0</v>
      </c>
      <c r="G16" s="7">
        <f>IF(B16&lt;&gt;"",SUMPRODUCT((Resultados!$B$1:$B$549=2)*(Resultados!$C$1:$C$549=B16)*1),"")</f>
        <v>0</v>
      </c>
      <c r="H16" s="7">
        <f>IF(B16&lt;&gt;"",SUMPRODUCT((Resultados!$B$1:$B$549=3)*(Resultados!$C$1:$C$549=B16)*1),"")</f>
        <v>0</v>
      </c>
      <c r="I16" s="7">
        <f>IF(B16&lt;&gt;"",SUMPRODUCT((Resultados!$B$1:$B$549=4)*(Resultados!$C$1:$C$549=B16)*1),"")</f>
        <v>0</v>
      </c>
      <c r="J16" s="7">
        <f>IF(B16&lt;&gt;"",SUMPRODUCT((Resultados!$B$1:$B$549=5)*(Resultados!$C$1:$C$549=B16)*1),"")</f>
        <v>0</v>
      </c>
      <c r="K16" s="7">
        <f>IF(B16&lt;&gt;"",SUMPRODUCT((Resultados!$B$1:$B$549=6)*(Resultados!$C$1:$C$549=B16)*1),"")</f>
        <v>1</v>
      </c>
      <c r="L16" s="7">
        <f>IF(B16&lt;&gt;"",SUMPRODUCT((Resultados!$B$1:$B$549=7)*(Resultados!$C$1:$C$549=B16)*1),"")</f>
        <v>1</v>
      </c>
      <c r="M16" s="7">
        <f>IF(B16&lt;&gt;"",SUMPRODUCT((Resultados!$B$1:$B$549=8)*(Resultados!$C$1:$C$549=B16)*1),"")</f>
        <v>1</v>
      </c>
      <c r="N16" s="7">
        <f>IF(B16&lt;&gt;"",SUMPRODUCT((Resultados!$B$1:$B$549=9)*(Resultados!$C$1:$C$549=B16)*1),"")</f>
        <v>0</v>
      </c>
      <c r="O16" s="7">
        <f>IF(B16&lt;&gt;"",SUMPRODUCT((Resultados!$B$1:$B$549=10)*(Resultados!$C$1:$C$549=B16)*1),"")</f>
        <v>2</v>
      </c>
      <c r="P16" s="7">
        <f>IF(B16&lt;&gt;"",SUMPRODUCT((Resultados!$B$1:$B$549=11)*(Resultados!$C$1:$C$549=B16)*1),"")</f>
        <v>4</v>
      </c>
      <c r="Q16" s="7">
        <f>IF(B16&lt;&gt;"",SUMPRODUCT((Resultados!$B$1:$B$549=12)*(Resultados!$C$1:$C$549=B16)*1),"")</f>
        <v>3</v>
      </c>
      <c r="R16" s="7">
        <f>IF(B16&lt;&gt;"",SUMPRODUCT((Resultados!$B$1:$B$549=13)*(Resultados!$C$1:$C$549=B16)*1),"")</f>
        <v>1</v>
      </c>
      <c r="S16" s="7">
        <f>IF(B16&lt;&gt;"",SUMPRODUCT((Resultados!$B$1:$B$549=14)*(Resultados!$C$1:$C$549=B16)*1),"")</f>
        <v>2</v>
      </c>
      <c r="T16" s="7">
        <f>IF(B16&lt;&gt;"",SUMPRODUCT((Resultados!$B$1:$B$549=15)*(Resultados!$C$1:$C$549=B16)*1),"")</f>
        <v>1</v>
      </c>
      <c r="U16" s="7">
        <f>IF(B16&lt;&gt;"",SUMPRODUCT((Resultados!$B$1:$B$549=16)*(Resultados!$C$1:$C$549=B16)*1),"")</f>
        <v>0</v>
      </c>
      <c r="V16" s="7">
        <f>IF(B16&lt;&gt;"",SUMPRODUCT((Resultados!$B$1:$B$549=17)*(Resultados!$C$1:$C$549=B16)*1),"")</f>
        <v>2</v>
      </c>
      <c r="W16" s="7">
        <f>IF(B16&lt;&gt;"",SUMPRODUCT((Resultados!$B$1:$B$549=18)*(Resultados!$C$1:$C$549=B16)*1),"")</f>
        <v>0</v>
      </c>
      <c r="X16" s="7">
        <f>IF(B16&lt;&gt;"",SUMPRODUCT((Resultados!$B$1:$B$549=19)*(Resultados!$C$1:$C$549=B16)*1),"")</f>
        <v>1</v>
      </c>
      <c r="Y16" s="7">
        <f>IF(B16&lt;&gt;"",SUMPRODUCT((Resultados!$B$1:$B$549=20)*(Resultados!$C$1:$C$549=B16)*1),"")</f>
        <v>1</v>
      </c>
      <c r="Z16" s="7">
        <f>IF(B16&lt;&gt;"",SUMPRODUCT((Resultados!$B$1:$B$549=21)*(Resultados!$C$1:$C$549=B16)*1),"")</f>
        <v>0</v>
      </c>
      <c r="AA16" s="7">
        <f>IF(B16&lt;&gt;"",SUMPRODUCT((Resultados!$B$1:$B$549=22)*(Resultados!$C$1:$C$549=B16)*1),"")</f>
        <v>0</v>
      </c>
      <c r="AB16" s="7">
        <f>IF(B16&lt;&gt;"",SUMPRODUCT((Resultados!$B$1:$B$549=23)*(Resultados!$C$1:$C$549=B16)*1),"")</f>
        <v>0</v>
      </c>
      <c r="AC16" s="7">
        <f>IF(B16&lt;&gt;"",SUMPRODUCT((Resultados!$B$1:$B$549=24)*(Resultados!$C$1:$C$549=B16)*1),"")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15</v>
      </c>
      <c r="B17" s="1" t="str">
        <f>IF('Equipes e Pilotos'!C17&lt;&gt;"",'Equipes e Pilotos'!C17,"")</f>
        <v>Yuki Tsunoda</v>
      </c>
      <c r="C17" s="1" t="str">
        <f>IF(B17&lt;&gt;"",VLOOKUP(B17,'Equipes e Pilotos'!$C$3:$F$30,3,FALSE),"")</f>
        <v>Japão</v>
      </c>
      <c r="D17" s="1" t="str">
        <f>IF(B17&lt;&gt;"",VLOOKUP(B17,'Equipes e Pilotos'!$C$3:$F$30,4,FALSE),"")</f>
        <v>Red Bull</v>
      </c>
      <c r="E17" s="1">
        <f>IF(B17&lt;&gt;"",SUMIF(Resultados!C:C,B17,Resultados!F:F),"")</f>
        <v>33</v>
      </c>
      <c r="F17" s="7">
        <f>IF(B17&lt;&gt;"",SUMPRODUCT((Resultados!$B$1:$B$549=1)*(Resultados!$C$1:$C$549=B17)*1),"")</f>
        <v>0</v>
      </c>
      <c r="G17" s="7">
        <f>IF(B17&lt;&gt;"",SUMPRODUCT((Resultados!$B$1:$B$549=2)*(Resultados!$C$1:$C$549=B17)*1),"")</f>
        <v>0</v>
      </c>
      <c r="H17" s="7">
        <f>IF(B17&lt;&gt;"",SUMPRODUCT((Resultados!$B$1:$B$549=3)*(Resultados!$C$1:$C$549=B17)*1),"")</f>
        <v>0</v>
      </c>
      <c r="I17" s="7">
        <f>IF(B17&lt;&gt;"",SUMPRODUCT((Resultados!$B$1:$B$549=4)*(Resultados!$C$1:$C$549=B17)*1),"")</f>
        <v>0</v>
      </c>
      <c r="J17" s="7">
        <f>IF(B17&lt;&gt;"",SUMPRODUCT((Resultados!$B$1:$B$549=5)*(Resultados!$C$1:$C$549=B17)*1),"")</f>
        <v>0</v>
      </c>
      <c r="K17" s="7">
        <f>IF(B17&lt;&gt;"",SUMPRODUCT((Resultados!$B$1:$B$549=6)*(Resultados!$C$1:$C$549=B17)*1),"")</f>
        <v>3</v>
      </c>
      <c r="L17" s="7">
        <f>IF(B17&lt;&gt;"",SUMPRODUCT((Resultados!$B$1:$B$549=7)*(Resultados!$C$1:$C$549=B17)*1),"")</f>
        <v>0</v>
      </c>
      <c r="M17" s="7">
        <f>IF(B17&lt;&gt;"",SUMPRODUCT((Resultados!$B$1:$B$549=8)*(Resultados!$C$1:$C$549=B17)*1),"")</f>
        <v>0</v>
      </c>
      <c r="N17" s="7">
        <f>IF(B17&lt;&gt;"",SUMPRODUCT((Resultados!$B$1:$B$549=9)*(Resultados!$C$1:$C$549=B17)*1),"")</f>
        <v>2</v>
      </c>
      <c r="O17" s="7">
        <f>IF(B17&lt;&gt;"",SUMPRODUCT((Resultados!$B$1:$B$549=10)*(Resultados!$C$1:$C$549=B17)*1),"")</f>
        <v>2</v>
      </c>
      <c r="P17" s="7">
        <f>IF(B17&lt;&gt;"",SUMPRODUCT((Resultados!$B$1:$B$549=11)*(Resultados!$C$1:$C$549=B17)*1),"")</f>
        <v>1</v>
      </c>
      <c r="Q17" s="7">
        <f>IF(B17&lt;&gt;"",SUMPRODUCT((Resultados!$B$1:$B$549=12)*(Resultados!$C$1:$C$549=B17)*1),"")</f>
        <v>3</v>
      </c>
      <c r="R17" s="7">
        <f>IF(B17&lt;&gt;"",SUMPRODUCT((Resultados!$B$1:$B$549=13)*(Resultados!$C$1:$C$549=B17)*1),"")</f>
        <v>3</v>
      </c>
      <c r="S17" s="7">
        <f>IF(B17&lt;&gt;"",SUMPRODUCT((Resultados!$B$1:$B$549=14)*(Resultados!$C$1:$C$549=B17)*1),"")</f>
        <v>0</v>
      </c>
      <c r="T17" s="7">
        <f>IF(B17&lt;&gt;"",SUMPRODUCT((Resultados!$B$1:$B$549=15)*(Resultados!$C$1:$C$549=B17)*1),"")</f>
        <v>1</v>
      </c>
      <c r="U17" s="7">
        <f>IF(B17&lt;&gt;"",SUMPRODUCT((Resultados!$B$1:$B$549=16)*(Resultados!$C$1:$C$549=B17)*1),"")</f>
        <v>2</v>
      </c>
      <c r="V17" s="7">
        <f>IF(B17&lt;&gt;"",SUMPRODUCT((Resultados!$B$1:$B$549=17)*(Resultados!$C$1:$C$549=B17)*1),"")</f>
        <v>2</v>
      </c>
      <c r="W17" s="7">
        <f>IF(B17&lt;&gt;"",SUMPRODUCT((Resultados!$B$1:$B$549=18)*(Resultados!$C$1:$C$549=B17)*1),"")</f>
        <v>0</v>
      </c>
      <c r="X17" s="7">
        <f>IF(B17&lt;&gt;"",SUMPRODUCT((Resultados!$B$1:$B$549=19)*(Resultados!$C$1:$C$549=B17)*1),"")</f>
        <v>1</v>
      </c>
      <c r="Y17" s="7">
        <f>IF(B17&lt;&gt;"",SUMPRODUCT((Resultados!$B$1:$B$549=20)*(Resultados!$C$1:$C$549=B17)*1),"")</f>
        <v>0</v>
      </c>
      <c r="Z17" s="7">
        <f>IF(B17&lt;&gt;"",SUMPRODUCT((Resultados!$B$1:$B$549=21)*(Resultados!$C$1:$C$549=B17)*1),"")</f>
        <v>0</v>
      </c>
      <c r="AA17" s="7">
        <f>IF(B17&lt;&gt;"",SUMPRODUCT((Resultados!$B$1:$B$549=22)*(Resultados!$C$1:$C$549=B17)*1),"")</f>
        <v>0</v>
      </c>
      <c r="AB17" s="7">
        <f>IF(B17&lt;&gt;"",SUMPRODUCT((Resultados!$B$1:$B$549=23)*(Resultados!$C$1:$C$549=B17)*1),"")</f>
        <v>0</v>
      </c>
      <c r="AC17" s="7">
        <f>IF(B17&lt;&gt;"",SUMPRODUCT((Resultados!$B$1:$B$549=24)*(Resultados!$C$1:$C$549=B17)*1),"")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10</v>
      </c>
      <c r="B18" s="1" t="str">
        <f>IF('Equipes e Pilotos'!C18&lt;&gt;"",'Equipes e Pilotos'!C18,"")</f>
        <v>Isack Hadjar</v>
      </c>
      <c r="C18" s="1" t="str">
        <f>IF(B18&lt;&gt;"",VLOOKUP(B18,'Equipes e Pilotos'!$C$3:$F$30,3,FALSE),"")</f>
        <v>França</v>
      </c>
      <c r="D18" s="1" t="str">
        <f>IF(B18&lt;&gt;"",VLOOKUP(B18,'Equipes e Pilotos'!$C$3:$F$30,4,FALSE),"")</f>
        <v>Racing Bulls</v>
      </c>
      <c r="E18" s="1">
        <f>IF(B18&lt;&gt;"",SUMIF(Resultados!C:C,B18,Resultados!F:F),"")</f>
        <v>51</v>
      </c>
      <c r="F18" s="7">
        <f>IF(B18&lt;&gt;"",SUMPRODUCT((Resultados!$B$1:$B$549=1)*(Resultados!$C$1:$C$549=B18)*1),"")</f>
        <v>0</v>
      </c>
      <c r="G18" s="7">
        <f>IF(B18&lt;&gt;"",SUMPRODUCT((Resultados!$B$1:$B$549=2)*(Resultados!$C$1:$C$549=B18)*1),"")</f>
        <v>0</v>
      </c>
      <c r="H18" s="7">
        <f>IF(B18&lt;&gt;"",SUMPRODUCT((Resultados!$B$1:$B$549=3)*(Resultados!$C$1:$C$549=B18)*1),"")</f>
        <v>1</v>
      </c>
      <c r="I18" s="7">
        <f>IF(B18&lt;&gt;"",SUMPRODUCT((Resultados!$B$1:$B$549=4)*(Resultados!$C$1:$C$549=B18)*1),"")</f>
        <v>0</v>
      </c>
      <c r="J18" s="7">
        <f>IF(B18&lt;&gt;"",SUMPRODUCT((Resultados!$B$1:$B$549=5)*(Resultados!$C$1:$C$549=B18)*1),"")</f>
        <v>0</v>
      </c>
      <c r="K18" s="7">
        <f>IF(B18&lt;&gt;"",SUMPRODUCT((Resultados!$B$1:$B$549=6)*(Resultados!$C$1:$C$549=B18)*1),"")</f>
        <v>1</v>
      </c>
      <c r="L18" s="7">
        <f>IF(B18&lt;&gt;"",SUMPRODUCT((Resultados!$B$1:$B$549=7)*(Resultados!$C$1:$C$549=B18)*1),"")</f>
        <v>1</v>
      </c>
      <c r="M18" s="7">
        <f>IF(B18&lt;&gt;"",SUMPRODUCT((Resultados!$B$1:$B$549=8)*(Resultados!$C$1:$C$549=B18)*1),"")</f>
        <v>2</v>
      </c>
      <c r="N18" s="7">
        <f>IF(B18&lt;&gt;"",SUMPRODUCT((Resultados!$B$1:$B$549=9)*(Resultados!$C$1:$C$549=B18)*1),"")</f>
        <v>1</v>
      </c>
      <c r="O18" s="7">
        <f>IF(B18&lt;&gt;"",SUMPRODUCT((Resultados!$B$1:$B$549=10)*(Resultados!$C$1:$C$549=B18)*1),"")</f>
        <v>4</v>
      </c>
      <c r="P18" s="7">
        <f>IF(B18&lt;&gt;"",SUMPRODUCT((Resultados!$B$1:$B$549=11)*(Resultados!$C$1:$C$549=B18)*1),"")</f>
        <v>3</v>
      </c>
      <c r="Q18" s="7">
        <f>IF(B18&lt;&gt;"",SUMPRODUCT((Resultados!$B$1:$B$549=12)*(Resultados!$C$1:$C$549=B18)*1),"")</f>
        <v>1</v>
      </c>
      <c r="R18" s="7">
        <f>IF(B18&lt;&gt;"",SUMPRODUCT((Resultados!$B$1:$B$549=13)*(Resultados!$C$1:$C$549=B18)*1),"")</f>
        <v>2</v>
      </c>
      <c r="S18" s="7">
        <f>IF(B18&lt;&gt;"",SUMPRODUCT((Resultados!$B$1:$B$549=14)*(Resultados!$C$1:$C$549=B18)*1),"")</f>
        <v>0</v>
      </c>
      <c r="T18" s="7">
        <f>IF(B18&lt;&gt;"",SUMPRODUCT((Resultados!$B$1:$B$549=15)*(Resultados!$C$1:$C$549=B18)*1),"")</f>
        <v>0</v>
      </c>
      <c r="U18" s="7">
        <f>IF(B18&lt;&gt;"",SUMPRODUCT((Resultados!$B$1:$B$549=16)*(Resultados!$C$1:$C$549=B18)*1),"")</f>
        <v>1</v>
      </c>
      <c r="V18" s="7">
        <f>IF(B18&lt;&gt;"",SUMPRODUCT((Resultados!$B$1:$B$549=17)*(Resultados!$C$1:$C$549=B18)*1),"")</f>
        <v>1</v>
      </c>
      <c r="W18" s="7">
        <f>IF(B18&lt;&gt;"",SUMPRODUCT((Resultados!$B$1:$B$549=18)*(Resultados!$C$1:$C$549=B18)*1),"")</f>
        <v>0</v>
      </c>
      <c r="X18" s="7">
        <f>IF(B18&lt;&gt;"",SUMPRODUCT((Resultados!$B$1:$B$549=19)*(Resultados!$C$1:$C$549=B18)*1),"")</f>
        <v>0</v>
      </c>
      <c r="Y18" s="7">
        <f>IF(B18&lt;&gt;"",SUMPRODUCT((Resultados!$B$1:$B$549=20)*(Resultados!$C$1:$C$549=B18)*1),"")</f>
        <v>2</v>
      </c>
      <c r="Z18" s="7">
        <f>IF(B18&lt;&gt;"",SUMPRODUCT((Resultados!$B$1:$B$549=21)*(Resultados!$C$1:$C$549=B18)*1),"")</f>
        <v>0</v>
      </c>
      <c r="AA18" s="7">
        <f>IF(B18&lt;&gt;"",SUMPRODUCT((Resultados!$B$1:$B$549=22)*(Resultados!$C$1:$C$549=B18)*1),"")</f>
        <v>0</v>
      </c>
      <c r="AB18" s="7">
        <f>IF(B18&lt;&gt;"",SUMPRODUCT((Resultados!$B$1:$B$549=23)*(Resultados!$C$1:$C$549=B18)*1),"")</f>
        <v>0</v>
      </c>
      <c r="AC18" s="7">
        <f>IF(B18&lt;&gt;"",SUMPRODUCT((Resultados!$B$1:$B$549=24)*(Resultados!$C$1:$C$549=B18)*1),"")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8</v>
      </c>
      <c r="B19" s="1" t="str">
        <f>IF('Equipes e Pilotos'!C19&lt;&gt;"",'Equipes e Pilotos'!C19,"")</f>
        <v>Alexander Albon</v>
      </c>
      <c r="C19" s="1" t="str">
        <f>IF(B19&lt;&gt;"",VLOOKUP(B19,'Equipes e Pilotos'!$C$3:$F$30,3,FALSE),"")</f>
        <v>Tailandia</v>
      </c>
      <c r="D19" s="1" t="str">
        <f>IF(B19&lt;&gt;"",VLOOKUP(B19,'Equipes e Pilotos'!$C$3:$F$30,4,FALSE),"")</f>
        <v>Williams</v>
      </c>
      <c r="E19" s="1">
        <f>IF(B19&lt;&gt;"",SUMIF(Resultados!C:C,B19,Resultados!F:F),"")</f>
        <v>73</v>
      </c>
      <c r="F19" s="7">
        <f>IF(B19&lt;&gt;"",SUMPRODUCT((Resultados!$B$1:$B$549=1)*(Resultados!$C$1:$C$549=B19)*1),"")</f>
        <v>0</v>
      </c>
      <c r="G19" s="7">
        <f>IF(B19&lt;&gt;"",SUMPRODUCT((Resultados!$B$1:$B$549=2)*(Resultados!$C$1:$C$549=B19)*1),"")</f>
        <v>0</v>
      </c>
      <c r="H19" s="7">
        <f>IF(B19&lt;&gt;"",SUMPRODUCT((Resultados!$B$1:$B$549=3)*(Resultados!$C$1:$C$549=B19)*1),"")</f>
        <v>0</v>
      </c>
      <c r="I19" s="7">
        <f>IF(B19&lt;&gt;"",SUMPRODUCT((Resultados!$B$1:$B$549=4)*(Resultados!$C$1:$C$549=B19)*1),"")</f>
        <v>0</v>
      </c>
      <c r="J19" s="7">
        <f>IF(B19&lt;&gt;"",SUMPRODUCT((Resultados!$B$1:$B$549=5)*(Resultados!$C$1:$C$549=B19)*1),"")</f>
        <v>4</v>
      </c>
      <c r="K19" s="7">
        <f>IF(B19&lt;&gt;"",SUMPRODUCT((Resultados!$B$1:$B$549=6)*(Resultados!$C$1:$C$549=B19)*1),"")</f>
        <v>1</v>
      </c>
      <c r="L19" s="7">
        <f>IF(B19&lt;&gt;"",SUMPRODUCT((Resultados!$B$1:$B$549=7)*(Resultados!$C$1:$C$549=B19)*1),"")</f>
        <v>2</v>
      </c>
      <c r="M19" s="7">
        <f>IF(B19&lt;&gt;"",SUMPRODUCT((Resultados!$B$1:$B$549=8)*(Resultados!$C$1:$C$549=B19)*1),"")</f>
        <v>1</v>
      </c>
      <c r="N19" s="7">
        <f>IF(B19&lt;&gt;"",SUMPRODUCT((Resultados!$B$1:$B$549=9)*(Resultados!$C$1:$C$549=B19)*1),"")</f>
        <v>3</v>
      </c>
      <c r="O19" s="7">
        <f>IF(B19&lt;&gt;"",SUMPRODUCT((Resultados!$B$1:$B$549=10)*(Resultados!$C$1:$C$549=B19)*1),"")</f>
        <v>0</v>
      </c>
      <c r="P19" s="7">
        <f>IF(B19&lt;&gt;"",SUMPRODUCT((Resultados!$B$1:$B$549=11)*(Resultados!$C$1:$C$549=B19)*1),"")</f>
        <v>2</v>
      </c>
      <c r="Q19" s="7">
        <f>IF(B19&lt;&gt;"",SUMPRODUCT((Resultados!$B$1:$B$549=12)*(Resultados!$C$1:$C$549=B19)*1),"")</f>
        <v>1</v>
      </c>
      <c r="R19" s="7">
        <f>IF(B19&lt;&gt;"",SUMPRODUCT((Resultados!$B$1:$B$549=13)*(Resultados!$C$1:$C$549=B19)*1),"")</f>
        <v>1</v>
      </c>
      <c r="S19" s="7">
        <f>IF(B19&lt;&gt;"",SUMPRODUCT((Resultados!$B$1:$B$549=14)*(Resultados!$C$1:$C$549=B19)*1),"")</f>
        <v>0</v>
      </c>
      <c r="T19" s="7">
        <f>IF(B19&lt;&gt;"",SUMPRODUCT((Resultados!$B$1:$B$549=15)*(Resultados!$C$1:$C$549=B19)*1),"")</f>
        <v>1</v>
      </c>
      <c r="U19" s="7">
        <f>IF(B19&lt;&gt;"",SUMPRODUCT((Resultados!$B$1:$B$549=16)*(Resultados!$C$1:$C$549=B19)*1),"")</f>
        <v>1</v>
      </c>
      <c r="V19" s="7">
        <f>IF(B19&lt;&gt;"",SUMPRODUCT((Resultados!$B$1:$B$549=17)*(Resultados!$C$1:$C$549=B19)*1),"")</f>
        <v>1</v>
      </c>
      <c r="W19" s="7">
        <f>IF(B19&lt;&gt;"",SUMPRODUCT((Resultados!$B$1:$B$549=18)*(Resultados!$C$1:$C$549=B19)*1),"")</f>
        <v>0</v>
      </c>
      <c r="X19" s="7">
        <f>IF(B19&lt;&gt;"",SUMPRODUCT((Resultados!$B$1:$B$549=19)*(Resultados!$C$1:$C$549=B19)*1),"")</f>
        <v>1</v>
      </c>
      <c r="Y19" s="7">
        <f>IF(B19&lt;&gt;"",SUMPRODUCT((Resultados!$B$1:$B$549=20)*(Resultados!$C$1:$C$549=B19)*1),"")</f>
        <v>1</v>
      </c>
      <c r="Z19" s="7">
        <f>IF(B19&lt;&gt;"",SUMPRODUCT((Resultados!$B$1:$B$549=21)*(Resultados!$C$1:$C$549=B19)*1),"")</f>
        <v>0</v>
      </c>
      <c r="AA19" s="7">
        <f>IF(B19&lt;&gt;"",SUMPRODUCT((Resultados!$B$1:$B$549=22)*(Resultados!$C$1:$C$549=B19)*1),"")</f>
        <v>0</v>
      </c>
      <c r="AB19" s="7">
        <f>IF(B19&lt;&gt;"",SUMPRODUCT((Resultados!$B$1:$B$549=23)*(Resultados!$C$1:$C$549=B19)*1),"")</f>
        <v>0</v>
      </c>
      <c r="AC19" s="7">
        <f>IF(B19&lt;&gt;"",SUMPRODUCT((Resultados!$B$1:$B$549=24)*(Resultados!$C$1:$C$549=B19)*1),"")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9</v>
      </c>
      <c r="B20" s="1" t="str">
        <f>IF('Equipes e Pilotos'!C20&lt;&gt;"",'Equipes e Pilotos'!C20,"")</f>
        <v>Carlos Sainz</v>
      </c>
      <c r="C20" s="1" t="str">
        <f>IF(B20&lt;&gt;"",VLOOKUP(B20,'Equipes e Pilotos'!$C$3:$F$30,3,FALSE),"")</f>
        <v>Espanha</v>
      </c>
      <c r="D20" s="1" t="str">
        <f>IF(B20&lt;&gt;"",VLOOKUP(B20,'Equipes e Pilotos'!$C$3:$F$30,4,FALSE),"")</f>
        <v>Williams</v>
      </c>
      <c r="E20" s="1">
        <f>IF(B20&lt;&gt;"",SUMIF(Resultados!C:C,B20,Resultados!F:F),"")</f>
        <v>64</v>
      </c>
      <c r="F20" s="7">
        <f>IF(B20&lt;&gt;"",SUMPRODUCT((Resultados!$B$1:$B$549=1)*(Resultados!$C$1:$C$549=B20)*1),"")</f>
        <v>0</v>
      </c>
      <c r="G20" s="7">
        <f>IF(B20&lt;&gt;"",SUMPRODUCT((Resultados!$B$1:$B$549=2)*(Resultados!$C$1:$C$549=B20)*1),"")</f>
        <v>0</v>
      </c>
      <c r="H20" s="7">
        <f>IF(B20&lt;&gt;"",SUMPRODUCT((Resultados!$B$1:$B$549=3)*(Resultados!$C$1:$C$549=B20)*1),"")</f>
        <v>1</v>
      </c>
      <c r="I20" s="7">
        <f>IF(B20&lt;&gt;"",SUMPRODUCT((Resultados!$B$1:$B$549=4)*(Resultados!$C$1:$C$549=B20)*1),"")</f>
        <v>0</v>
      </c>
      <c r="J20" s="7">
        <f>IF(B20&lt;&gt;"",SUMPRODUCT((Resultados!$B$1:$B$549=5)*(Resultados!$C$1:$C$549=B20)*1),"")</f>
        <v>0</v>
      </c>
      <c r="K20" s="7">
        <f>IF(B20&lt;&gt;"",SUMPRODUCT((Resultados!$B$1:$B$549=6)*(Resultados!$C$1:$C$549=B20)*1),"")</f>
        <v>1</v>
      </c>
      <c r="L20" s="7">
        <f>IF(B20&lt;&gt;"",SUMPRODUCT((Resultados!$B$1:$B$549=7)*(Resultados!$C$1:$C$549=B20)*1),"")</f>
        <v>0</v>
      </c>
      <c r="M20" s="7">
        <f>IF(B20&lt;&gt;"",SUMPRODUCT((Resultados!$B$1:$B$549=8)*(Resultados!$C$1:$C$549=B20)*1),"")</f>
        <v>2</v>
      </c>
      <c r="N20" s="7">
        <f>IF(B20&lt;&gt;"",SUMPRODUCT((Resultados!$B$1:$B$549=9)*(Resultados!$C$1:$C$549=B20)*1),"")</f>
        <v>1</v>
      </c>
      <c r="O20" s="7">
        <f>IF(B20&lt;&gt;"",SUMPRODUCT((Resultados!$B$1:$B$549=10)*(Resultados!$C$1:$C$549=B20)*1),"")</f>
        <v>3</v>
      </c>
      <c r="P20" s="7">
        <f>IF(B20&lt;&gt;"",SUMPRODUCT((Resultados!$B$1:$B$549=11)*(Resultados!$C$1:$C$549=B20)*1),"")</f>
        <v>1</v>
      </c>
      <c r="Q20" s="7">
        <f>IF(B20&lt;&gt;"",SUMPRODUCT((Resultados!$B$1:$B$549=12)*(Resultados!$C$1:$C$549=B20)*1),"")</f>
        <v>1</v>
      </c>
      <c r="R20" s="7">
        <f>IF(B20&lt;&gt;"",SUMPRODUCT((Resultados!$B$1:$B$549=13)*(Resultados!$C$1:$C$549=B20)*1),"")</f>
        <v>1</v>
      </c>
      <c r="S20" s="7">
        <f>IF(B20&lt;&gt;"",SUMPRODUCT((Resultados!$B$1:$B$549=14)*(Resultados!$C$1:$C$549=B20)*1),"")</f>
        <v>3</v>
      </c>
      <c r="T20" s="7">
        <f>IF(B20&lt;&gt;"",SUMPRODUCT((Resultados!$B$1:$B$549=15)*(Resultados!$C$1:$C$549=B20)*1),"")</f>
        <v>0</v>
      </c>
      <c r="U20" s="7">
        <f>IF(B20&lt;&gt;"",SUMPRODUCT((Resultados!$B$1:$B$549=16)*(Resultados!$C$1:$C$549=B20)*1),"")</f>
        <v>0</v>
      </c>
      <c r="V20" s="7">
        <f>IF(B20&lt;&gt;"",SUMPRODUCT((Resultados!$B$1:$B$549=17)*(Resultados!$C$1:$C$549=B20)*1),"")</f>
        <v>1</v>
      </c>
      <c r="W20" s="7">
        <f>IF(B20&lt;&gt;"",SUMPRODUCT((Resultados!$B$1:$B$549=18)*(Resultados!$C$1:$C$549=B20)*1),"")</f>
        <v>2</v>
      </c>
      <c r="X20" s="7">
        <f>IF(B20&lt;&gt;"",SUMPRODUCT((Resultados!$B$1:$B$549=19)*(Resultados!$C$1:$C$549=B20)*1),"")</f>
        <v>2</v>
      </c>
      <c r="Y20" s="7">
        <f>IF(B20&lt;&gt;"",SUMPRODUCT((Resultados!$B$1:$B$549=20)*(Resultados!$C$1:$C$549=B20)*1),"")</f>
        <v>1</v>
      </c>
      <c r="Z20" s="7">
        <f>IF(B20&lt;&gt;"",SUMPRODUCT((Resultados!$B$1:$B$549=21)*(Resultados!$C$1:$C$549=B20)*1),"")</f>
        <v>0</v>
      </c>
      <c r="AA20" s="7">
        <f>IF(B20&lt;&gt;"",SUMPRODUCT((Resultados!$B$1:$B$549=22)*(Resultados!$C$1:$C$549=B20)*1),"")</f>
        <v>0</v>
      </c>
      <c r="AB20" s="7">
        <f>IF(B20&lt;&gt;"",SUMPRODUCT((Resultados!$B$1:$B$549=23)*(Resultados!$C$1:$C$549=B20)*1),"")</f>
        <v>0</v>
      </c>
      <c r="AC20" s="7">
        <f>IF(B20&lt;&gt;"",SUMPRODUCT((Resultados!$B$1:$B$549=24)*(Resultados!$C$1:$C$549=B20)*1),"")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11</v>
      </c>
      <c r="B21" s="1" t="str">
        <f>IF('Equipes e Pilotos'!C21&lt;&gt;"",'Equipes e Pilotos'!C21,"")</f>
        <v>Nico Hulkenberg</v>
      </c>
      <c r="C21" s="1" t="str">
        <f>IF(B21&lt;&gt;"",VLOOKUP(B21,'Equipes e Pilotos'!$C$3:$F$30,3,FALSE),"")</f>
        <v>Alemanha</v>
      </c>
      <c r="D21" s="1" t="str">
        <f>IF(B21&lt;&gt;"",VLOOKUP(B21,'Equipes e Pilotos'!$C$3:$F$30,4,FALSE),"")</f>
        <v>Kick Sauber</v>
      </c>
      <c r="E21" s="1">
        <f>IF(B21&lt;&gt;"",SUMIF(Resultados!C:C,B21,Resultados!F:F),"")</f>
        <v>49</v>
      </c>
      <c r="F21" s="7">
        <f>IF(B21&lt;&gt;"",SUMPRODUCT((Resultados!$B$1:$B$549=1)*(Resultados!$C$1:$C$549=B21)*1),"")</f>
        <v>0</v>
      </c>
      <c r="G21" s="7">
        <f>IF(B21&lt;&gt;"",SUMPRODUCT((Resultados!$B$1:$B$549=2)*(Resultados!$C$1:$C$549=B21)*1),"")</f>
        <v>0</v>
      </c>
      <c r="H21" s="7">
        <f>IF(B21&lt;&gt;"",SUMPRODUCT((Resultados!$B$1:$B$549=3)*(Resultados!$C$1:$C$549=B21)*1),"")</f>
        <v>1</v>
      </c>
      <c r="I21" s="7">
        <f>IF(B21&lt;&gt;"",SUMPRODUCT((Resultados!$B$1:$B$549=4)*(Resultados!$C$1:$C$549=B21)*1),"")</f>
        <v>0</v>
      </c>
      <c r="J21" s="7">
        <f>IF(B21&lt;&gt;"",SUMPRODUCT((Resultados!$B$1:$B$549=5)*(Resultados!$C$1:$C$549=B21)*1),"")</f>
        <v>1</v>
      </c>
      <c r="K21" s="7">
        <f>IF(B21&lt;&gt;"",SUMPRODUCT((Resultados!$B$1:$B$549=6)*(Resultados!$C$1:$C$549=B21)*1),"")</f>
        <v>0</v>
      </c>
      <c r="L21" s="7">
        <f>IF(B21&lt;&gt;"",SUMPRODUCT((Resultados!$B$1:$B$549=7)*(Resultados!$C$1:$C$549=B21)*1),"")</f>
        <v>1</v>
      </c>
      <c r="M21" s="7">
        <f>IF(B21&lt;&gt;"",SUMPRODUCT((Resultados!$B$1:$B$549=8)*(Resultados!$C$1:$C$549=B21)*1),"")</f>
        <v>1</v>
      </c>
      <c r="N21" s="7">
        <f>IF(B21&lt;&gt;"",SUMPRODUCT((Resultados!$B$1:$B$549=9)*(Resultados!$C$1:$C$549=B21)*1),"")</f>
        <v>2</v>
      </c>
      <c r="O21" s="7">
        <f>IF(B21&lt;&gt;"",SUMPRODUCT((Resultados!$B$1:$B$549=10)*(Resultados!$C$1:$C$549=B21)*1),"")</f>
        <v>0</v>
      </c>
      <c r="P21" s="7">
        <f>IF(B21&lt;&gt;"",SUMPRODUCT((Resultados!$B$1:$B$549=11)*(Resultados!$C$1:$C$549=B21)*1),"")</f>
        <v>0</v>
      </c>
      <c r="Q21" s="7">
        <f>IF(B21&lt;&gt;"",SUMPRODUCT((Resultados!$B$1:$B$549=12)*(Resultados!$C$1:$C$549=B21)*1),"")</f>
        <v>2</v>
      </c>
      <c r="R21" s="7">
        <f>IF(B21&lt;&gt;"",SUMPRODUCT((Resultados!$B$1:$B$549=13)*(Resultados!$C$1:$C$549=B21)*1),"")</f>
        <v>1</v>
      </c>
      <c r="S21" s="7">
        <f>IF(B21&lt;&gt;"",SUMPRODUCT((Resultados!$B$1:$B$549=14)*(Resultados!$C$1:$C$549=B21)*1),"")</f>
        <v>2</v>
      </c>
      <c r="T21" s="7">
        <f>IF(B21&lt;&gt;"",SUMPRODUCT((Resultados!$B$1:$B$549=15)*(Resultados!$C$1:$C$549=B21)*1),"")</f>
        <v>2</v>
      </c>
      <c r="U21" s="7">
        <f>IF(B21&lt;&gt;"",SUMPRODUCT((Resultados!$B$1:$B$549=16)*(Resultados!$C$1:$C$549=B21)*1),"")</f>
        <v>3</v>
      </c>
      <c r="V21" s="7">
        <f>IF(B21&lt;&gt;"",SUMPRODUCT((Resultados!$B$1:$B$549=17)*(Resultados!$C$1:$C$549=B21)*1),"")</f>
        <v>0</v>
      </c>
      <c r="W21" s="7">
        <f>IF(B21&lt;&gt;"",SUMPRODUCT((Resultados!$B$1:$B$549=18)*(Resultados!$C$1:$C$549=B21)*1),"")</f>
        <v>1</v>
      </c>
      <c r="X21" s="7">
        <f>IF(B21&lt;&gt;"",SUMPRODUCT((Resultados!$B$1:$B$549=19)*(Resultados!$C$1:$C$549=B21)*1),"")</f>
        <v>1</v>
      </c>
      <c r="Y21" s="7">
        <f>IF(B21&lt;&gt;"",SUMPRODUCT((Resultados!$B$1:$B$549=20)*(Resultados!$C$1:$C$549=B21)*1),"")</f>
        <v>2</v>
      </c>
      <c r="Z21" s="7">
        <f>IF(B21&lt;&gt;"",SUMPRODUCT((Resultados!$B$1:$B$549=21)*(Resultados!$C$1:$C$549=B21)*1),"")</f>
        <v>0</v>
      </c>
      <c r="AA21" s="7">
        <f>IF(B21&lt;&gt;"",SUMPRODUCT((Resultados!$B$1:$B$549=22)*(Resultados!$C$1:$C$549=B21)*1),"")</f>
        <v>0</v>
      </c>
      <c r="AB21" s="7">
        <f>IF(B21&lt;&gt;"",SUMPRODUCT((Resultados!$B$1:$B$549=23)*(Resultados!$C$1:$C$549=B21)*1),"")</f>
        <v>0</v>
      </c>
      <c r="AC21" s="7">
        <f>IF(B21&lt;&gt;"",SUMPRODUCT((Resultados!$B$1:$B$549=24)*(Resultados!$C$1:$C$549=B21)*1),"")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19</v>
      </c>
      <c r="B22" s="1" t="str">
        <f>IF('Equipes e Pilotos'!C22&lt;&gt;"",'Equipes e Pilotos'!C22,"")</f>
        <v>Gabriel Bortoleto</v>
      </c>
      <c r="C22" s="1" t="str">
        <f>IF(B22&lt;&gt;"",VLOOKUP(B22,'Equipes e Pilotos'!$C$3:$F$30,3,FALSE),"")</f>
        <v>Brasil</v>
      </c>
      <c r="D22" s="1" t="str">
        <f>IF(B22&lt;&gt;"",VLOOKUP(B22,'Equipes e Pilotos'!$C$3:$F$30,4,FALSE),"")</f>
        <v>Kick Sauber</v>
      </c>
      <c r="E22" s="1">
        <f>IF(B22&lt;&gt;"",SUMIF(Resultados!C:C,B22,Resultados!F:F),"")</f>
        <v>19</v>
      </c>
      <c r="F22" s="7">
        <f>IF(B22&lt;&gt;"",SUMPRODUCT((Resultados!$B$1:$B$549=1)*(Resultados!$C$1:$C$549=B22)*1),"")</f>
        <v>0</v>
      </c>
      <c r="G22" s="7">
        <f>IF(B22&lt;&gt;"",SUMPRODUCT((Resultados!$B$1:$B$549=2)*(Resultados!$C$1:$C$549=B22)*1),"")</f>
        <v>0</v>
      </c>
      <c r="H22" s="7">
        <f>IF(B22&lt;&gt;"",SUMPRODUCT((Resultados!$B$1:$B$549=3)*(Resultados!$C$1:$C$549=B22)*1),"")</f>
        <v>0</v>
      </c>
      <c r="I22" s="7">
        <f>IF(B22&lt;&gt;"",SUMPRODUCT((Resultados!$B$1:$B$549=4)*(Resultados!$C$1:$C$549=B22)*1),"")</f>
        <v>0</v>
      </c>
      <c r="J22" s="7">
        <f>IF(B22&lt;&gt;"",SUMPRODUCT((Resultados!$B$1:$B$549=5)*(Resultados!$C$1:$C$549=B22)*1),"")</f>
        <v>0</v>
      </c>
      <c r="K22" s="7">
        <f>IF(B22&lt;&gt;"",SUMPRODUCT((Resultados!$B$1:$B$549=6)*(Resultados!$C$1:$C$549=B22)*1),"")</f>
        <v>1</v>
      </c>
      <c r="L22" s="7">
        <f>IF(B22&lt;&gt;"",SUMPRODUCT((Resultados!$B$1:$B$549=7)*(Resultados!$C$1:$C$549=B22)*1),"")</f>
        <v>0</v>
      </c>
      <c r="M22" s="7">
        <f>IF(B22&lt;&gt;"",SUMPRODUCT((Resultados!$B$1:$B$549=8)*(Resultados!$C$1:$C$549=B22)*1),"")</f>
        <v>2</v>
      </c>
      <c r="N22" s="7">
        <f>IF(B22&lt;&gt;"",SUMPRODUCT((Resultados!$B$1:$B$549=9)*(Resultados!$C$1:$C$549=B22)*1),"")</f>
        <v>2</v>
      </c>
      <c r="O22" s="7">
        <f>IF(B22&lt;&gt;"",SUMPRODUCT((Resultados!$B$1:$B$549=10)*(Resultados!$C$1:$C$549=B22)*1),"")</f>
        <v>0</v>
      </c>
      <c r="P22" s="7">
        <f>IF(B22&lt;&gt;"",SUMPRODUCT((Resultados!$B$1:$B$549=11)*(Resultados!$C$1:$C$549=B22)*1),"")</f>
        <v>1</v>
      </c>
      <c r="Q22" s="7">
        <f>IF(B22&lt;&gt;"",SUMPRODUCT((Resultados!$B$1:$B$549=12)*(Resultados!$C$1:$C$549=B22)*1),"")</f>
        <v>1</v>
      </c>
      <c r="R22" s="7">
        <f>IF(B22&lt;&gt;"",SUMPRODUCT((Resultados!$B$1:$B$549=13)*(Resultados!$C$1:$C$549=B22)*1),"")</f>
        <v>0</v>
      </c>
      <c r="S22" s="7">
        <f>IF(B22&lt;&gt;"",SUMPRODUCT((Resultados!$B$1:$B$549=14)*(Resultados!$C$1:$C$549=B22)*1),"")</f>
        <v>3</v>
      </c>
      <c r="T22" s="7">
        <f>IF(B22&lt;&gt;"",SUMPRODUCT((Resultados!$B$1:$B$549=15)*(Resultados!$C$1:$C$549=B22)*1),"")</f>
        <v>2</v>
      </c>
      <c r="U22" s="7">
        <f>IF(B22&lt;&gt;"",SUMPRODUCT((Resultados!$B$1:$B$549=16)*(Resultados!$C$1:$C$549=B22)*1),"")</f>
        <v>1</v>
      </c>
      <c r="V22" s="7">
        <f>IF(B22&lt;&gt;"",SUMPRODUCT((Resultados!$B$1:$B$549=17)*(Resultados!$C$1:$C$549=B22)*1),"")</f>
        <v>0</v>
      </c>
      <c r="W22" s="7">
        <f>IF(B22&lt;&gt;"",SUMPRODUCT((Resultados!$B$1:$B$549=18)*(Resultados!$C$1:$C$549=B22)*1),"")</f>
        <v>6</v>
      </c>
      <c r="X22" s="7">
        <f>IF(B22&lt;&gt;"",SUMPRODUCT((Resultados!$B$1:$B$549=19)*(Resultados!$C$1:$C$549=B22)*1),"")</f>
        <v>1</v>
      </c>
      <c r="Y22" s="7">
        <f>IF(B22&lt;&gt;"",SUMPRODUCT((Resultados!$B$1:$B$549=20)*(Resultados!$C$1:$C$549=B22)*1),"")</f>
        <v>0</v>
      </c>
      <c r="Z22" s="7">
        <f>IF(B22&lt;&gt;"",SUMPRODUCT((Resultados!$B$1:$B$549=21)*(Resultados!$C$1:$C$549=B22)*1),"")</f>
        <v>0</v>
      </c>
      <c r="AA22" s="7">
        <f>IF(B22&lt;&gt;"",SUMPRODUCT((Resultados!$B$1:$B$549=22)*(Resultados!$C$1:$C$549=B22)*1),"")</f>
        <v>0</v>
      </c>
      <c r="AB22" s="7">
        <f>IF(B22&lt;&gt;"",SUMPRODUCT((Resultados!$B$1:$B$549=23)*(Resultados!$C$1:$C$549=B22)*1),"")</f>
        <v>0</v>
      </c>
      <c r="AC22" s="7">
        <f>IF(B22&lt;&gt;"",SUMPRODUCT((Resultados!$B$1:$B$549=24)*(Resultados!$C$1:$C$549=B22)*1),"")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Franco Colapinto</v>
      </c>
      <c r="C23" s="1" t="str">
        <f>IF(B23&lt;&gt;"",VLOOKUP(B23,'Equipes e Pilotos'!$C$3:$F$30,3,FALSE),"")</f>
        <v>Argentina</v>
      </c>
      <c r="D23" s="1" t="str">
        <f>IF(B23&lt;&gt;"",VLOOKUP(B23,'Equipes e Pilotos'!$C$3:$F$30,4,FALSE),"")</f>
        <v>Alpine</v>
      </c>
      <c r="E23" s="1">
        <f>IF(B23&lt;&gt;"",SUMIF(Resultados!C:C,B23,Resultados!F:F),"")</f>
        <v>0</v>
      </c>
      <c r="F23" s="7">
        <f>IF(B23&lt;&gt;"",SUMPRODUCT((Resultados!$B$1:$B$549=1)*(Resultados!$C$1:$C$549=B23)*1),"")</f>
        <v>0</v>
      </c>
      <c r="G23" s="7">
        <f>IF(B23&lt;&gt;"",SUMPRODUCT((Resultados!$B$1:$B$549=2)*(Resultados!$C$1:$C$549=B23)*1),"")</f>
        <v>0</v>
      </c>
      <c r="H23" s="7">
        <f>IF(B23&lt;&gt;"",SUMPRODUCT((Resultados!$B$1:$B$549=3)*(Resultados!$C$1:$C$549=B23)*1),"")</f>
        <v>0</v>
      </c>
      <c r="I23" s="7">
        <f>IF(B23&lt;&gt;"",SUMPRODUCT((Resultados!$B$1:$B$549=4)*(Resultados!$C$1:$C$549=B23)*1),"")</f>
        <v>0</v>
      </c>
      <c r="J23" s="7">
        <f>IF(B23&lt;&gt;"",SUMPRODUCT((Resultados!$B$1:$B$549=5)*(Resultados!$C$1:$C$549=B23)*1),"")</f>
        <v>0</v>
      </c>
      <c r="K23" s="7">
        <f>IF(B23&lt;&gt;"",SUMPRODUCT((Resultados!$B$1:$B$549=6)*(Resultados!$C$1:$C$549=B23)*1),"")</f>
        <v>0</v>
      </c>
      <c r="L23" s="7">
        <f>IF(B23&lt;&gt;"",SUMPRODUCT((Resultados!$B$1:$B$549=7)*(Resultados!$C$1:$C$549=B23)*1),"")</f>
        <v>0</v>
      </c>
      <c r="M23" s="7">
        <f>IF(B23&lt;&gt;"",SUMPRODUCT((Resultados!$B$1:$B$549=8)*(Resultados!$C$1:$C$549=B23)*1),"")</f>
        <v>0</v>
      </c>
      <c r="N23" s="7">
        <f>IF(B23&lt;&gt;"",SUMPRODUCT((Resultados!$B$1:$B$549=9)*(Resultados!$C$1:$C$549=B23)*1),"")</f>
        <v>0</v>
      </c>
      <c r="O23" s="7">
        <f>IF(B23&lt;&gt;"",SUMPRODUCT((Resultados!$B$1:$B$549=10)*(Resultados!$C$1:$C$549=B23)*1),"")</f>
        <v>0</v>
      </c>
      <c r="P23" s="7">
        <f>IF(B23&lt;&gt;"",SUMPRODUCT((Resultados!$B$1:$B$549=11)*(Resultados!$C$1:$C$549=B23)*1),"")</f>
        <v>1</v>
      </c>
      <c r="Q23" s="7">
        <f>IF(B23&lt;&gt;"",SUMPRODUCT((Resultados!$B$1:$B$549=12)*(Resultados!$C$1:$C$549=B23)*1),"")</f>
        <v>0</v>
      </c>
      <c r="R23" s="7">
        <f>IF(B23&lt;&gt;"",SUMPRODUCT((Resultados!$B$1:$B$549=13)*(Resultados!$C$1:$C$549=B23)*1),"")</f>
        <v>2</v>
      </c>
      <c r="S23" s="7">
        <f>IF(B23&lt;&gt;"",SUMPRODUCT((Resultados!$B$1:$B$549=14)*(Resultados!$C$1:$C$549=B23)*1),"")</f>
        <v>0</v>
      </c>
      <c r="T23" s="7">
        <f>IF(B23&lt;&gt;"",SUMPRODUCT((Resultados!$B$1:$B$549=15)*(Resultados!$C$1:$C$549=B23)*1),"")</f>
        <v>2</v>
      </c>
      <c r="U23" s="7">
        <f>IF(B23&lt;&gt;"",SUMPRODUCT((Resultados!$B$1:$B$549=16)*(Resultados!$C$1:$C$549=B23)*1),"")</f>
        <v>1</v>
      </c>
      <c r="V23" s="7">
        <f>IF(B23&lt;&gt;"",SUMPRODUCT((Resultados!$B$1:$B$549=17)*(Resultados!$C$1:$C$549=B23)*1),"")</f>
        <v>1</v>
      </c>
      <c r="W23" s="7">
        <f>IF(B23&lt;&gt;"",SUMPRODUCT((Resultados!$B$1:$B$549=18)*(Resultados!$C$1:$C$549=B23)*1),"")</f>
        <v>1</v>
      </c>
      <c r="X23" s="7">
        <f>IF(B23&lt;&gt;"",SUMPRODUCT((Resultados!$B$1:$B$549=19)*(Resultados!$C$1:$C$549=B23)*1),"")</f>
        <v>3</v>
      </c>
      <c r="Y23" s="7">
        <f>IF(B23&lt;&gt;"",SUMPRODUCT((Resultados!$B$1:$B$549=20)*(Resultados!$C$1:$C$549=B23)*1),"")</f>
        <v>1</v>
      </c>
      <c r="Z23" s="7">
        <f>IF(B23&lt;&gt;"",SUMPRODUCT((Resultados!$B$1:$B$549=21)*(Resultados!$C$1:$C$549=B23)*1),"")</f>
        <v>0</v>
      </c>
      <c r="AA23" s="7">
        <f>IF(B23&lt;&gt;"",SUMPRODUCT((Resultados!$B$1:$B$549=22)*(Resultados!$C$1:$C$549=B23)*1),"")</f>
        <v>0</v>
      </c>
      <c r="AB23" s="7">
        <f>IF(B23&lt;&gt;"",SUMPRODUCT((Resultados!$B$1:$B$549=23)*(Resultados!$C$1:$C$549=B23)*1),"")</f>
        <v>0</v>
      </c>
      <c r="AC23" s="7">
        <f>IF(B23&lt;&gt;"",SUMPRODUCT((Resultados!$B$1:$B$549=24)*(Resultados!$C$1:$C$549=B23)*1),"")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 t="str">
        <f t="shared" si="0"/>
        <v/>
      </c>
      <c r="B24" s="1" t="str">
        <f>IF('Equipes e Pilotos'!C24&lt;&gt;"",'Equipes e Pilotos'!C24,"")</f>
        <v/>
      </c>
      <c r="C24" s="1" t="str">
        <f>IF(B24&lt;&gt;"",VLOOKUP(B24,'Equipes e Pilotos'!$C$3:$F$30,3,FALSE),"")</f>
        <v/>
      </c>
      <c r="D24" s="1" t="str">
        <f>IF(B24&lt;&gt;"",VLOOKUP(B24,'Equipes e Pilotos'!$C$3:$F$30,4,FALSE),"")</f>
        <v/>
      </c>
      <c r="E24" s="1" t="str">
        <f>IF(B24&lt;&gt;"",SUMIF(Resultados!C:C,B24,Resultados!F:F),"")</f>
        <v/>
      </c>
      <c r="F24" s="7" t="str">
        <f>IF(B24&lt;&gt;"",SUMPRODUCT((Resultados!$B$1:$B$549=1)*(Resultados!$C$1:$C$549=B24)*1),"")</f>
        <v/>
      </c>
      <c r="G24" s="7" t="str">
        <f>IF(B24&lt;&gt;"",SUMPRODUCT((Resultados!$B$1:$B$549=2)*(Resultados!$C$1:$C$549=B24)*1),"")</f>
        <v/>
      </c>
      <c r="H24" s="7" t="str">
        <f>IF(B24&lt;&gt;"",SUMPRODUCT((Resultados!$B$1:$B$549=3)*(Resultados!$C$1:$C$549=B24)*1),"")</f>
        <v/>
      </c>
      <c r="I24" s="7" t="str">
        <f>IF(B24&lt;&gt;"",SUMPRODUCT((Resultados!$B$1:$B$549=4)*(Resultados!$C$1:$C$549=B24)*1),"")</f>
        <v/>
      </c>
      <c r="J24" s="7" t="str">
        <f>IF(B24&lt;&gt;"",SUMPRODUCT((Resultados!$B$1:$B$549=5)*(Resultados!$C$1:$C$549=B24)*1),"")</f>
        <v/>
      </c>
      <c r="K24" s="7" t="str">
        <f>IF(B24&lt;&gt;"",SUMPRODUCT((Resultados!$B$1:$B$549=6)*(Resultados!$C$1:$C$549=B24)*1),"")</f>
        <v/>
      </c>
      <c r="L24" s="7" t="str">
        <f>IF(B24&lt;&gt;"",SUMPRODUCT((Resultados!$B$1:$B$549=7)*(Resultados!$C$1:$C$549=B24)*1),"")</f>
        <v/>
      </c>
      <c r="M24" s="7" t="str">
        <f>IF(B24&lt;&gt;"",SUMPRODUCT((Resultados!$B$1:$B$549=8)*(Resultados!$C$1:$C$549=B24)*1),"")</f>
        <v/>
      </c>
      <c r="N24" s="7" t="str">
        <f>IF(B24&lt;&gt;"",SUMPRODUCT((Resultados!$B$1:$B$549=9)*(Resultados!$C$1:$C$549=B24)*1),"")</f>
        <v/>
      </c>
      <c r="O24" s="7" t="str">
        <f>IF(B24&lt;&gt;"",SUMPRODUCT((Resultados!$B$1:$B$549=10)*(Resultados!$C$1:$C$549=B24)*1),"")</f>
        <v/>
      </c>
      <c r="P24" s="7" t="str">
        <f>IF(B24&lt;&gt;"",SUMPRODUCT((Resultados!$B$1:$B$549=11)*(Resultados!$C$1:$C$549=B24)*1),"")</f>
        <v/>
      </c>
      <c r="Q24" s="7" t="str">
        <f>IF(B24&lt;&gt;"",SUMPRODUCT((Resultados!$B$1:$B$549=12)*(Resultados!$C$1:$C$549=B24)*1),"")</f>
        <v/>
      </c>
      <c r="R24" s="7" t="str">
        <f>IF(B24&lt;&gt;"",SUMPRODUCT((Resultados!$B$1:$B$549=13)*(Resultados!$C$1:$C$549=B24)*1),"")</f>
        <v/>
      </c>
      <c r="S24" s="7" t="str">
        <f>IF(B24&lt;&gt;"",SUMPRODUCT((Resultados!$B$1:$B$549=14)*(Resultados!$C$1:$C$549=B24)*1),"")</f>
        <v/>
      </c>
      <c r="T24" s="7" t="str">
        <f>IF(B24&lt;&gt;"",SUMPRODUCT((Resultados!$B$1:$B$549=15)*(Resultados!$C$1:$C$549=B24)*1),"")</f>
        <v/>
      </c>
      <c r="U24" s="7" t="str">
        <f>IF(B24&lt;&gt;"",SUMPRODUCT((Resultados!$B$1:$B$549=16)*(Resultados!$C$1:$C$549=B24)*1),"")</f>
        <v/>
      </c>
      <c r="V24" s="7" t="str">
        <f>IF(B24&lt;&gt;"",SUMPRODUCT((Resultados!$B$1:$B$549=17)*(Resultados!$C$1:$C$549=B24)*1),"")</f>
        <v/>
      </c>
      <c r="W24" s="7" t="str">
        <f>IF(B24&lt;&gt;"",SUMPRODUCT((Resultados!$B$1:$B$549=18)*(Resultados!$C$1:$C$549=B24)*1),"")</f>
        <v/>
      </c>
      <c r="X24" s="7" t="str">
        <f>IF(B24&lt;&gt;"",SUMPRODUCT((Resultados!$B$1:$B$549=19)*(Resultados!$C$1:$C$549=B24)*1),"")</f>
        <v/>
      </c>
      <c r="Y24" s="7" t="str">
        <f>IF(B24&lt;&gt;"",SUMPRODUCT((Resultados!$B$1:$B$549=20)*(Resultados!$C$1:$C$549=B24)*1),"")</f>
        <v/>
      </c>
      <c r="Z24" s="7" t="str">
        <f>IF(B24&lt;&gt;"",SUMPRODUCT((Resultados!$B$1:$B$549=21)*(Resultados!$C$1:$C$549=B24)*1),"")</f>
        <v/>
      </c>
      <c r="AA24" s="7" t="str">
        <f>IF(B24&lt;&gt;"",SUMPRODUCT((Resultados!$B$1:$B$549=22)*(Resultados!$C$1:$C$549=B24)*1),"")</f>
        <v/>
      </c>
      <c r="AB24" s="7" t="str">
        <f>IF(B24&lt;&gt;"",SUMPRODUCT((Resultados!$B$1:$B$549=23)*(Resultados!$C$1:$C$549=B24)*1),"")</f>
        <v/>
      </c>
      <c r="AC24" s="7" t="str">
        <f>IF(B24&lt;&gt;"",SUMPRODUCT((Resultados!$B$1:$B$549=24)*(Resultados!$C$1:$C$549=B24)*1),"")</f>
        <v/>
      </c>
      <c r="AD24" s="6" t="str">
        <f t="shared" si="1"/>
        <v/>
      </c>
      <c r="AE24" s="6" t="str">
        <f t="shared" si="2"/>
        <v/>
      </c>
      <c r="AF24" s="6" t="str">
        <f t="shared" si="3"/>
        <v/>
      </c>
      <c r="AG24" s="6" t="str">
        <f t="shared" si="4"/>
        <v/>
      </c>
      <c r="AH24" s="6" t="str">
        <f t="shared" si="5"/>
        <v/>
      </c>
      <c r="AI24" s="6" t="str">
        <f t="shared" si="6"/>
        <v/>
      </c>
      <c r="AJ24" s="6" t="str">
        <f t="shared" si="7"/>
        <v/>
      </c>
      <c r="AK24" s="6" t="str">
        <f t="shared" si="8"/>
        <v/>
      </c>
      <c r="AL24" s="6" t="str">
        <f t="shared" si="9"/>
        <v/>
      </c>
      <c r="AM24" s="6" t="str">
        <f t="shared" si="10"/>
        <v/>
      </c>
      <c r="AN24" s="6" t="str">
        <f t="shared" si="11"/>
        <v/>
      </c>
      <c r="AO24" s="6" t="str">
        <f t="shared" si="12"/>
        <v/>
      </c>
      <c r="AP24" s="6" t="str">
        <f t="shared" si="13"/>
        <v/>
      </c>
      <c r="AQ24" s="6" t="str">
        <f t="shared" si="14"/>
        <v/>
      </c>
      <c r="AR24" s="6" t="str">
        <f t="shared" si="15"/>
        <v/>
      </c>
      <c r="AS24" s="6" t="str">
        <f t="shared" si="16"/>
        <v/>
      </c>
      <c r="AT24" s="6" t="str">
        <f t="shared" si="17"/>
        <v/>
      </c>
      <c r="AU24" s="6" t="str">
        <f t="shared" si="18"/>
        <v/>
      </c>
      <c r="AV24" s="6" t="str">
        <f t="shared" si="19"/>
        <v/>
      </c>
      <c r="AW24" s="6" t="str">
        <f t="shared" si="20"/>
        <v/>
      </c>
      <c r="AX24" s="6" t="str">
        <f t="shared" si="21"/>
        <v/>
      </c>
      <c r="AY24" s="6" t="str">
        <f t="shared" si="22"/>
        <v/>
      </c>
      <c r="AZ24" s="6" t="str">
        <f t="shared" si="23"/>
        <v/>
      </c>
      <c r="BA24" s="6" t="str">
        <f t="shared" si="24"/>
        <v/>
      </c>
      <c r="BB24" s="6" t="str">
        <f t="shared" si="25"/>
        <v/>
      </c>
      <c r="BC24" s="6" t="str">
        <f>IF(B24&lt;&gt;"",'Equipes e Pilotos'!B24,"")</f>
        <v/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IF(B25&lt;&gt;"",SUMPRODUCT((Resultados!$B$1:$B$549=1)*(Resultados!$C$1:$C$549=B25)*1),"")</f>
        <v/>
      </c>
      <c r="G25" s="7" t="str">
        <f>IF(B25&lt;&gt;"",SUMPRODUCT((Resultados!$B$1:$B$549=2)*(Resultados!$C$1:$C$549=B25)*1),"")</f>
        <v/>
      </c>
      <c r="H25" s="7" t="str">
        <f>IF(B25&lt;&gt;"",SUMPRODUCT((Resultados!$B$1:$B$549=3)*(Resultados!$C$1:$C$549=B25)*1),"")</f>
        <v/>
      </c>
      <c r="I25" s="7" t="str">
        <f>IF(B25&lt;&gt;"",SUMPRODUCT((Resultados!$B$1:$B$549=4)*(Resultados!$C$1:$C$549=B25)*1),"")</f>
        <v/>
      </c>
      <c r="J25" s="7" t="str">
        <f>IF(B25&lt;&gt;"",SUMPRODUCT((Resultados!$B$1:$B$549=5)*(Resultados!$C$1:$C$549=B25)*1),"")</f>
        <v/>
      </c>
      <c r="K25" s="7" t="str">
        <f>IF(B25&lt;&gt;"",SUMPRODUCT((Resultados!$B$1:$B$549=6)*(Resultados!$C$1:$C$549=B25)*1),"")</f>
        <v/>
      </c>
      <c r="L25" s="7" t="str">
        <f>IF(B25&lt;&gt;"",SUMPRODUCT((Resultados!$B$1:$B$549=7)*(Resultados!$C$1:$C$549=B25)*1),"")</f>
        <v/>
      </c>
      <c r="M25" s="7" t="str">
        <f>IF(B25&lt;&gt;"",SUMPRODUCT((Resultados!$B$1:$B$549=8)*(Resultados!$C$1:$C$549=B25)*1),"")</f>
        <v/>
      </c>
      <c r="N25" s="7" t="str">
        <f>IF(B25&lt;&gt;"",SUMPRODUCT((Resultados!$B$1:$B$549=9)*(Resultados!$C$1:$C$549=B25)*1),"")</f>
        <v/>
      </c>
      <c r="O25" s="7" t="str">
        <f>IF(B25&lt;&gt;"",SUMPRODUCT((Resultados!$B$1:$B$549=10)*(Resultados!$C$1:$C$549=B25)*1),"")</f>
        <v/>
      </c>
      <c r="P25" s="7" t="str">
        <f>IF(B25&lt;&gt;"",SUMPRODUCT((Resultados!$B$1:$B$549=11)*(Resultados!$C$1:$C$549=B25)*1),"")</f>
        <v/>
      </c>
      <c r="Q25" s="7" t="str">
        <f>IF(B25&lt;&gt;"",SUMPRODUCT((Resultados!$B$1:$B$549=12)*(Resultados!$C$1:$C$549=B25)*1),"")</f>
        <v/>
      </c>
      <c r="R25" s="7" t="str">
        <f>IF(B25&lt;&gt;"",SUMPRODUCT((Resultados!$B$1:$B$549=13)*(Resultados!$C$1:$C$549=B25)*1),"")</f>
        <v/>
      </c>
      <c r="S25" s="7" t="str">
        <f>IF(B25&lt;&gt;"",SUMPRODUCT((Resultados!$B$1:$B$549=14)*(Resultados!$C$1:$C$549=B25)*1),"")</f>
        <v/>
      </c>
      <c r="T25" s="7" t="str">
        <f>IF(B25&lt;&gt;"",SUMPRODUCT((Resultados!$B$1:$B$549=15)*(Resultados!$C$1:$C$549=B25)*1),"")</f>
        <v/>
      </c>
      <c r="U25" s="7" t="str">
        <f>IF(B25&lt;&gt;"",SUMPRODUCT((Resultados!$B$1:$B$549=16)*(Resultados!$C$1:$C$549=B25)*1),"")</f>
        <v/>
      </c>
      <c r="V25" s="7" t="str">
        <f>IF(B25&lt;&gt;"",SUMPRODUCT((Resultados!$B$1:$B$549=17)*(Resultados!$C$1:$C$549=B25)*1),"")</f>
        <v/>
      </c>
      <c r="W25" s="7" t="str">
        <f>IF(B25&lt;&gt;"",SUMPRODUCT((Resultados!$B$1:$B$549=18)*(Resultados!$C$1:$C$549=B25)*1),"")</f>
        <v/>
      </c>
      <c r="X25" s="7" t="str">
        <f>IF(B25&lt;&gt;"",SUMPRODUCT((Resultados!$B$1:$B$549=19)*(Resultados!$C$1:$C$549=B25)*1),"")</f>
        <v/>
      </c>
      <c r="Y25" s="7" t="str">
        <f>IF(B25&lt;&gt;"",SUMPRODUCT((Resultados!$B$1:$B$549=20)*(Resultados!$C$1:$C$549=B25)*1),"")</f>
        <v/>
      </c>
      <c r="Z25" s="7" t="str">
        <f>IF(B25&lt;&gt;"",SUMPRODUCT((Resultados!$B$1:$B$549=21)*(Resultados!$C$1:$C$549=B25)*1),"")</f>
        <v/>
      </c>
      <c r="AA25" s="7" t="str">
        <f>IF(B25&lt;&gt;"",SUMPRODUCT((Resultados!$B$1:$B$549=22)*(Resultados!$C$1:$C$549=B25)*1),"")</f>
        <v/>
      </c>
      <c r="AB25" s="7" t="str">
        <f>IF(B25&lt;&gt;"",SUMPRODUCT((Resultados!$B$1:$B$549=23)*(Resultados!$C$1:$C$549=B25)*1),"")</f>
        <v/>
      </c>
      <c r="AC25" s="7" t="str">
        <f>IF(B25&lt;&gt;"",SUMPRODUCT((Resultados!$B$1:$B$549=24)*(Resultados!$C$1:$C$549=B25)*1),"")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IF(B26&lt;&gt;"",SUMPRODUCT((Resultados!$B$1:$B$549=1)*(Resultados!$C$1:$C$549=B26)*1),"")</f>
        <v/>
      </c>
      <c r="G26" s="7" t="str">
        <f>IF(B26&lt;&gt;"",SUMPRODUCT((Resultados!$B$1:$B$549=2)*(Resultados!$C$1:$C$549=B26)*1),"")</f>
        <v/>
      </c>
      <c r="H26" s="7" t="str">
        <f>IF(B26&lt;&gt;"",SUMPRODUCT((Resultados!$B$1:$B$549=3)*(Resultados!$C$1:$C$549=B26)*1),"")</f>
        <v/>
      </c>
      <c r="I26" s="7" t="str">
        <f>IF(B26&lt;&gt;"",SUMPRODUCT((Resultados!$B$1:$B$549=4)*(Resultados!$C$1:$C$549=B26)*1),"")</f>
        <v/>
      </c>
      <c r="J26" s="7" t="str">
        <f>IF(B26&lt;&gt;"",SUMPRODUCT((Resultados!$B$1:$B$549=5)*(Resultados!$C$1:$C$549=B26)*1),"")</f>
        <v/>
      </c>
      <c r="K26" s="7" t="str">
        <f>IF(B26&lt;&gt;"",SUMPRODUCT((Resultados!$B$1:$B$549=6)*(Resultados!$C$1:$C$549=B26)*1),"")</f>
        <v/>
      </c>
      <c r="L26" s="7" t="str">
        <f>IF(B26&lt;&gt;"",SUMPRODUCT((Resultados!$B$1:$B$549=7)*(Resultados!$C$1:$C$549=B26)*1),"")</f>
        <v/>
      </c>
      <c r="M26" s="7" t="str">
        <f>IF(B26&lt;&gt;"",SUMPRODUCT((Resultados!$B$1:$B$549=8)*(Resultados!$C$1:$C$549=B26)*1),"")</f>
        <v/>
      </c>
      <c r="N26" s="7" t="str">
        <f>IF(B26&lt;&gt;"",SUMPRODUCT((Resultados!$B$1:$B$549=9)*(Resultados!$C$1:$C$549=B26)*1),"")</f>
        <v/>
      </c>
      <c r="O26" s="7" t="str">
        <f>IF(B26&lt;&gt;"",SUMPRODUCT((Resultados!$B$1:$B$549=10)*(Resultados!$C$1:$C$549=B26)*1),"")</f>
        <v/>
      </c>
      <c r="P26" s="7" t="str">
        <f>IF(B26&lt;&gt;"",SUMPRODUCT((Resultados!$B$1:$B$549=11)*(Resultados!$C$1:$C$549=B26)*1),"")</f>
        <v/>
      </c>
      <c r="Q26" s="7" t="str">
        <f>IF(B26&lt;&gt;"",SUMPRODUCT((Resultados!$B$1:$B$549=12)*(Resultados!$C$1:$C$549=B26)*1),"")</f>
        <v/>
      </c>
      <c r="R26" s="7" t="str">
        <f>IF(B26&lt;&gt;"",SUMPRODUCT((Resultados!$B$1:$B$549=13)*(Resultados!$C$1:$C$549=B26)*1),"")</f>
        <v/>
      </c>
      <c r="S26" s="7" t="str">
        <f>IF(B26&lt;&gt;"",SUMPRODUCT((Resultados!$B$1:$B$549=14)*(Resultados!$C$1:$C$549=B26)*1),"")</f>
        <v/>
      </c>
      <c r="T26" s="7" t="str">
        <f>IF(B26&lt;&gt;"",SUMPRODUCT((Resultados!$B$1:$B$549=15)*(Resultados!$C$1:$C$549=B26)*1),"")</f>
        <v/>
      </c>
      <c r="U26" s="7" t="str">
        <f>IF(B26&lt;&gt;"",SUMPRODUCT((Resultados!$B$1:$B$549=16)*(Resultados!$C$1:$C$549=B26)*1),"")</f>
        <v/>
      </c>
      <c r="V26" s="7" t="str">
        <f>IF(B26&lt;&gt;"",SUMPRODUCT((Resultados!$B$1:$B$549=17)*(Resultados!$C$1:$C$549=B26)*1),"")</f>
        <v/>
      </c>
      <c r="W26" s="7" t="str">
        <f>IF(B26&lt;&gt;"",SUMPRODUCT((Resultados!$B$1:$B$549=18)*(Resultados!$C$1:$C$549=B26)*1),"")</f>
        <v/>
      </c>
      <c r="X26" s="7" t="str">
        <f>IF(B26&lt;&gt;"",SUMPRODUCT((Resultados!$B$1:$B$549=19)*(Resultados!$C$1:$C$549=B26)*1),"")</f>
        <v/>
      </c>
      <c r="Y26" s="7" t="str">
        <f>IF(B26&lt;&gt;"",SUMPRODUCT((Resultados!$B$1:$B$549=20)*(Resultados!$C$1:$C$549=B26)*1),"")</f>
        <v/>
      </c>
      <c r="Z26" s="7" t="str">
        <f>IF(B26&lt;&gt;"",SUMPRODUCT((Resultados!$B$1:$B$549=21)*(Resultados!$C$1:$C$549=B26)*1),"")</f>
        <v/>
      </c>
      <c r="AA26" s="7" t="str">
        <f>IF(B26&lt;&gt;"",SUMPRODUCT((Resultados!$B$1:$B$549=22)*(Resultados!$C$1:$C$549=B26)*1),"")</f>
        <v/>
      </c>
      <c r="AB26" s="7" t="str">
        <f>IF(B26&lt;&gt;"",SUMPRODUCT((Resultados!$B$1:$B$549=23)*(Resultados!$C$1:$C$549=B26)*1),"")</f>
        <v/>
      </c>
      <c r="AC26" s="7" t="str">
        <f>IF(B26&lt;&gt;"",SUMPRODUCT((Resultados!$B$1:$B$549=24)*(Resultados!$C$1:$C$549=B26)*1),"")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IF(B27&lt;&gt;"",SUMPRODUCT((Resultados!$B$1:$B$549=1)*(Resultados!$C$1:$C$549=B27)*1),"")</f>
        <v/>
      </c>
      <c r="G27" s="7" t="str">
        <f>IF(B27&lt;&gt;"",SUMPRODUCT((Resultados!$B$1:$B$549=2)*(Resultados!$C$1:$C$549=B27)*1),"")</f>
        <v/>
      </c>
      <c r="H27" s="7" t="str">
        <f>IF(B27&lt;&gt;"",SUMPRODUCT((Resultados!$B$1:$B$549=3)*(Resultados!$C$1:$C$549=B27)*1),"")</f>
        <v/>
      </c>
      <c r="I27" s="7" t="str">
        <f>IF(B27&lt;&gt;"",SUMPRODUCT((Resultados!$B$1:$B$549=4)*(Resultados!$C$1:$C$549=B27)*1),"")</f>
        <v/>
      </c>
      <c r="J27" s="7" t="str">
        <f>IF(B27&lt;&gt;"",SUMPRODUCT((Resultados!$B$1:$B$549=5)*(Resultados!$C$1:$C$549=B27)*1),"")</f>
        <v/>
      </c>
      <c r="K27" s="7" t="str">
        <f>IF(B27&lt;&gt;"",SUMPRODUCT((Resultados!$B$1:$B$549=6)*(Resultados!$C$1:$C$549=B27)*1),"")</f>
        <v/>
      </c>
      <c r="L27" s="7" t="str">
        <f>IF(B27&lt;&gt;"",SUMPRODUCT((Resultados!$B$1:$B$549=7)*(Resultados!$C$1:$C$549=B27)*1),"")</f>
        <v/>
      </c>
      <c r="M27" s="7" t="str">
        <f>IF(B27&lt;&gt;"",SUMPRODUCT((Resultados!$B$1:$B$549=8)*(Resultados!$C$1:$C$549=B27)*1),"")</f>
        <v/>
      </c>
      <c r="N27" s="7" t="str">
        <f>IF(B27&lt;&gt;"",SUMPRODUCT((Resultados!$B$1:$B$549=9)*(Resultados!$C$1:$C$549=B27)*1),"")</f>
        <v/>
      </c>
      <c r="O27" s="7" t="str">
        <f>IF(B27&lt;&gt;"",SUMPRODUCT((Resultados!$B$1:$B$549=10)*(Resultados!$C$1:$C$549=B27)*1),"")</f>
        <v/>
      </c>
      <c r="P27" s="7" t="str">
        <f>IF(B27&lt;&gt;"",SUMPRODUCT((Resultados!$B$1:$B$549=11)*(Resultados!$C$1:$C$549=B27)*1),"")</f>
        <v/>
      </c>
      <c r="Q27" s="7" t="str">
        <f>IF(B27&lt;&gt;"",SUMPRODUCT((Resultados!$B$1:$B$549=12)*(Resultados!$C$1:$C$549=B27)*1),"")</f>
        <v/>
      </c>
      <c r="R27" s="7" t="str">
        <f>IF(B27&lt;&gt;"",SUMPRODUCT((Resultados!$B$1:$B$549=13)*(Resultados!$C$1:$C$549=B27)*1),"")</f>
        <v/>
      </c>
      <c r="S27" s="7" t="str">
        <f>IF(B27&lt;&gt;"",SUMPRODUCT((Resultados!$B$1:$B$549=14)*(Resultados!$C$1:$C$549=B27)*1),"")</f>
        <v/>
      </c>
      <c r="T27" s="7" t="str">
        <f>IF(B27&lt;&gt;"",SUMPRODUCT((Resultados!$B$1:$B$549=15)*(Resultados!$C$1:$C$549=B27)*1),"")</f>
        <v/>
      </c>
      <c r="U27" s="7" t="str">
        <f>IF(B27&lt;&gt;"",SUMPRODUCT((Resultados!$B$1:$B$549=16)*(Resultados!$C$1:$C$549=B27)*1),"")</f>
        <v/>
      </c>
      <c r="V27" s="7" t="str">
        <f>IF(B27&lt;&gt;"",SUMPRODUCT((Resultados!$B$1:$B$549=17)*(Resultados!$C$1:$C$549=B27)*1),"")</f>
        <v/>
      </c>
      <c r="W27" s="7" t="str">
        <f>IF(B27&lt;&gt;"",SUMPRODUCT((Resultados!$B$1:$B$549=18)*(Resultados!$C$1:$C$549=B27)*1),"")</f>
        <v/>
      </c>
      <c r="X27" s="7" t="str">
        <f>IF(B27&lt;&gt;"",SUMPRODUCT((Resultados!$B$1:$B$549=19)*(Resultados!$C$1:$C$549=B27)*1),"")</f>
        <v/>
      </c>
      <c r="Y27" s="7" t="str">
        <f>IF(B27&lt;&gt;"",SUMPRODUCT((Resultados!$B$1:$B$549=20)*(Resultados!$C$1:$C$549=B27)*1),"")</f>
        <v/>
      </c>
      <c r="Z27" s="7" t="str">
        <f>IF(B27&lt;&gt;"",SUMPRODUCT((Resultados!$B$1:$B$549=21)*(Resultados!$C$1:$C$549=B27)*1),"")</f>
        <v/>
      </c>
      <c r="AA27" s="7" t="str">
        <f>IF(B27&lt;&gt;"",SUMPRODUCT((Resultados!$B$1:$B$549=22)*(Resultados!$C$1:$C$549=B27)*1),"")</f>
        <v/>
      </c>
      <c r="AB27" s="7" t="str">
        <f>IF(B27&lt;&gt;"",SUMPRODUCT((Resultados!$B$1:$B$549=23)*(Resultados!$C$1:$C$549=B27)*1),"")</f>
        <v/>
      </c>
      <c r="AC27" s="7" t="str">
        <f>IF(B27&lt;&gt;"",SUMPRODUCT((Resultados!$B$1:$B$549=24)*(Resultados!$C$1:$C$549=B27)*1),"")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IF(B28&lt;&gt;"",SUMPRODUCT((Resultados!$B$1:$B$549=1)*(Resultados!$C$1:$C$549=B28)*1),"")</f>
        <v/>
      </c>
      <c r="G28" s="7" t="str">
        <f>IF(B28&lt;&gt;"",SUMPRODUCT((Resultados!$B$1:$B$549=2)*(Resultados!$C$1:$C$549=B28)*1),"")</f>
        <v/>
      </c>
      <c r="H28" s="7" t="str">
        <f>IF(B28&lt;&gt;"",SUMPRODUCT((Resultados!$B$1:$B$549=3)*(Resultados!$C$1:$C$549=B28)*1),"")</f>
        <v/>
      </c>
      <c r="I28" s="7" t="str">
        <f>IF(B28&lt;&gt;"",SUMPRODUCT((Resultados!$B$1:$B$549=4)*(Resultados!$C$1:$C$549=B28)*1),"")</f>
        <v/>
      </c>
      <c r="J28" s="7" t="str">
        <f>IF(B28&lt;&gt;"",SUMPRODUCT((Resultados!$B$1:$B$549=5)*(Resultados!$C$1:$C$549=B28)*1),"")</f>
        <v/>
      </c>
      <c r="K28" s="7" t="str">
        <f>IF(B28&lt;&gt;"",SUMPRODUCT((Resultados!$B$1:$B$549=6)*(Resultados!$C$1:$C$549=B28)*1),"")</f>
        <v/>
      </c>
      <c r="L28" s="7" t="str">
        <f>IF(B28&lt;&gt;"",SUMPRODUCT((Resultados!$B$1:$B$549=7)*(Resultados!$C$1:$C$549=B28)*1),"")</f>
        <v/>
      </c>
      <c r="M28" s="7" t="str">
        <f>IF(B28&lt;&gt;"",SUMPRODUCT((Resultados!$B$1:$B$549=8)*(Resultados!$C$1:$C$549=B28)*1),"")</f>
        <v/>
      </c>
      <c r="N28" s="7" t="str">
        <f>IF(B28&lt;&gt;"",SUMPRODUCT((Resultados!$B$1:$B$549=9)*(Resultados!$C$1:$C$549=B28)*1),"")</f>
        <v/>
      </c>
      <c r="O28" s="7" t="str">
        <f>IF(B28&lt;&gt;"",SUMPRODUCT((Resultados!$B$1:$B$549=10)*(Resultados!$C$1:$C$549=B28)*1),"")</f>
        <v/>
      </c>
      <c r="P28" s="7" t="str">
        <f>IF(B28&lt;&gt;"",SUMPRODUCT((Resultados!$B$1:$B$549=11)*(Resultados!$C$1:$C$549=B28)*1),"")</f>
        <v/>
      </c>
      <c r="Q28" s="7" t="str">
        <f>IF(B28&lt;&gt;"",SUMPRODUCT((Resultados!$B$1:$B$549=12)*(Resultados!$C$1:$C$549=B28)*1),"")</f>
        <v/>
      </c>
      <c r="R28" s="7" t="str">
        <f>IF(B28&lt;&gt;"",SUMPRODUCT((Resultados!$B$1:$B$549=13)*(Resultados!$C$1:$C$549=B28)*1),"")</f>
        <v/>
      </c>
      <c r="S28" s="7" t="str">
        <f>IF(B28&lt;&gt;"",SUMPRODUCT((Resultados!$B$1:$B$549=14)*(Resultados!$C$1:$C$549=B28)*1),"")</f>
        <v/>
      </c>
      <c r="T28" s="7" t="str">
        <f>IF(B28&lt;&gt;"",SUMPRODUCT((Resultados!$B$1:$B$549=15)*(Resultados!$C$1:$C$549=B28)*1),"")</f>
        <v/>
      </c>
      <c r="U28" s="7" t="str">
        <f>IF(B28&lt;&gt;"",SUMPRODUCT((Resultados!$B$1:$B$549=16)*(Resultados!$C$1:$C$549=B28)*1),"")</f>
        <v/>
      </c>
      <c r="V28" s="7" t="str">
        <f>IF(B28&lt;&gt;"",SUMPRODUCT((Resultados!$B$1:$B$549=17)*(Resultados!$C$1:$C$549=B28)*1),"")</f>
        <v/>
      </c>
      <c r="W28" s="7" t="str">
        <f>IF(B28&lt;&gt;"",SUMPRODUCT((Resultados!$B$1:$B$549=18)*(Resultados!$C$1:$C$549=B28)*1),"")</f>
        <v/>
      </c>
      <c r="X28" s="7" t="str">
        <f>IF(B28&lt;&gt;"",SUMPRODUCT((Resultados!$B$1:$B$549=19)*(Resultados!$C$1:$C$549=B28)*1),"")</f>
        <v/>
      </c>
      <c r="Y28" s="7" t="str">
        <f>IF(B28&lt;&gt;"",SUMPRODUCT((Resultados!$B$1:$B$549=20)*(Resultados!$C$1:$C$549=B28)*1),"")</f>
        <v/>
      </c>
      <c r="Z28" s="7" t="str">
        <f>IF(B28&lt;&gt;"",SUMPRODUCT((Resultados!$B$1:$B$549=21)*(Resultados!$C$1:$C$549=B28)*1),"")</f>
        <v/>
      </c>
      <c r="AA28" s="7" t="str">
        <f>IF(B28&lt;&gt;"",SUMPRODUCT((Resultados!$B$1:$B$549=22)*(Resultados!$C$1:$C$549=B28)*1),"")</f>
        <v/>
      </c>
      <c r="AB28" s="7" t="str">
        <f>IF(B28&lt;&gt;"",SUMPRODUCT((Resultados!$B$1:$B$549=23)*(Resultados!$C$1:$C$549=B28)*1),"")</f>
        <v/>
      </c>
      <c r="AC28" s="7" t="str">
        <f>IF(B28&lt;&gt;"",SUMPRODUCT((Resultados!$B$1:$B$549=24)*(Resultados!$C$1:$C$549=B28)*1),"")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IF(B29&lt;&gt;"",SUMPRODUCT((Resultados!$B$1:$B$549=1)*(Resultados!$C$1:$C$549=B29)*1),"")</f>
        <v/>
      </c>
      <c r="G29" s="7" t="str">
        <f>IF(B29&lt;&gt;"",SUMPRODUCT((Resultados!$B$1:$B$549=2)*(Resultados!$C$1:$C$549=B29)*1),"")</f>
        <v/>
      </c>
      <c r="H29" s="7" t="str">
        <f>IF(B29&lt;&gt;"",SUMPRODUCT((Resultados!$B$1:$B$549=3)*(Resultados!$C$1:$C$549=B29)*1),"")</f>
        <v/>
      </c>
      <c r="I29" s="7" t="str">
        <f>IF(B29&lt;&gt;"",SUMPRODUCT((Resultados!$B$1:$B$549=4)*(Resultados!$C$1:$C$549=B29)*1),"")</f>
        <v/>
      </c>
      <c r="J29" s="7" t="str">
        <f>IF(B29&lt;&gt;"",SUMPRODUCT((Resultados!$B$1:$B$549=5)*(Resultados!$C$1:$C$549=B29)*1),"")</f>
        <v/>
      </c>
      <c r="K29" s="7" t="str">
        <f>IF(B29&lt;&gt;"",SUMPRODUCT((Resultados!$B$1:$B$549=6)*(Resultados!$C$1:$C$549=B29)*1),"")</f>
        <v/>
      </c>
      <c r="L29" s="7" t="str">
        <f>IF(B29&lt;&gt;"",SUMPRODUCT((Resultados!$B$1:$B$549=7)*(Resultados!$C$1:$C$549=B29)*1),"")</f>
        <v/>
      </c>
      <c r="M29" s="7" t="str">
        <f>IF(B29&lt;&gt;"",SUMPRODUCT((Resultados!$B$1:$B$549=8)*(Resultados!$C$1:$C$549=B29)*1),"")</f>
        <v/>
      </c>
      <c r="N29" s="7" t="str">
        <f>IF(B29&lt;&gt;"",SUMPRODUCT((Resultados!$B$1:$B$549=9)*(Resultados!$C$1:$C$549=B29)*1),"")</f>
        <v/>
      </c>
      <c r="O29" s="7" t="str">
        <f>IF(B29&lt;&gt;"",SUMPRODUCT((Resultados!$B$1:$B$549=10)*(Resultados!$C$1:$C$549=B29)*1),"")</f>
        <v/>
      </c>
      <c r="P29" s="7" t="str">
        <f>IF(B29&lt;&gt;"",SUMPRODUCT((Resultados!$B$1:$B$549=11)*(Resultados!$C$1:$C$549=B29)*1),"")</f>
        <v/>
      </c>
      <c r="Q29" s="7" t="str">
        <f>IF(B29&lt;&gt;"",SUMPRODUCT((Resultados!$B$1:$B$549=12)*(Resultados!$C$1:$C$549=B29)*1),"")</f>
        <v/>
      </c>
      <c r="R29" s="7" t="str">
        <f>IF(B29&lt;&gt;"",SUMPRODUCT((Resultados!$B$1:$B$549=13)*(Resultados!$C$1:$C$549=B29)*1),"")</f>
        <v/>
      </c>
      <c r="S29" s="7" t="str">
        <f>IF(B29&lt;&gt;"",SUMPRODUCT((Resultados!$B$1:$B$549=14)*(Resultados!$C$1:$C$549=B29)*1),"")</f>
        <v/>
      </c>
      <c r="T29" s="7" t="str">
        <f>IF(B29&lt;&gt;"",SUMPRODUCT((Resultados!$B$1:$B$549=15)*(Resultados!$C$1:$C$549=B29)*1),"")</f>
        <v/>
      </c>
      <c r="U29" s="7" t="str">
        <f>IF(B29&lt;&gt;"",SUMPRODUCT((Resultados!$B$1:$B$549=16)*(Resultados!$C$1:$C$549=B29)*1),"")</f>
        <v/>
      </c>
      <c r="V29" s="7" t="str">
        <f>IF(B29&lt;&gt;"",SUMPRODUCT((Resultados!$B$1:$B$549=17)*(Resultados!$C$1:$C$549=B29)*1),"")</f>
        <v/>
      </c>
      <c r="W29" s="7" t="str">
        <f>IF(B29&lt;&gt;"",SUMPRODUCT((Resultados!$B$1:$B$549=18)*(Resultados!$C$1:$C$549=B29)*1),"")</f>
        <v/>
      </c>
      <c r="X29" s="7" t="str">
        <f>IF(B29&lt;&gt;"",SUMPRODUCT((Resultados!$B$1:$B$549=19)*(Resultados!$C$1:$C$549=B29)*1),"")</f>
        <v/>
      </c>
      <c r="Y29" s="7" t="str">
        <f>IF(B29&lt;&gt;"",SUMPRODUCT((Resultados!$B$1:$B$549=20)*(Resultados!$C$1:$C$549=B29)*1),"")</f>
        <v/>
      </c>
      <c r="Z29" s="7" t="str">
        <f>IF(B29&lt;&gt;"",SUMPRODUCT((Resultados!$B$1:$B$549=21)*(Resultados!$C$1:$C$549=B29)*1),"")</f>
        <v/>
      </c>
      <c r="AA29" s="7" t="str">
        <f>IF(B29&lt;&gt;"",SUMPRODUCT((Resultados!$B$1:$B$549=22)*(Resultados!$C$1:$C$549=B29)*1),"")</f>
        <v/>
      </c>
      <c r="AB29" s="7" t="str">
        <f>IF(B29&lt;&gt;"",SUMPRODUCT((Resultados!$B$1:$B$549=23)*(Resultados!$C$1:$C$549=B29)*1),"")</f>
        <v/>
      </c>
      <c r="AC29" s="7" t="str">
        <f>IF(B29&lt;&gt;"",SUMPRODUCT((Resultados!$B$1:$B$549=24)*(Resultados!$C$1:$C$549=B29)*1),"")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IF(B30&lt;&gt;"",SUMPRODUCT((Resultados!$B$1:$B$549=1)*(Resultados!$C$1:$C$549=B30)*1),"")</f>
        <v/>
      </c>
      <c r="G30" s="7" t="str">
        <f>IF(B30&lt;&gt;"",SUMPRODUCT((Resultados!$B$1:$B$549=2)*(Resultados!$C$1:$C$549=B30)*1),"")</f>
        <v/>
      </c>
      <c r="H30" s="7" t="str">
        <f>IF(B30&lt;&gt;"",SUMPRODUCT((Resultados!$B$1:$B$549=3)*(Resultados!$C$1:$C$549=B30)*1),"")</f>
        <v/>
      </c>
      <c r="I30" s="7" t="str">
        <f>IF(B30&lt;&gt;"",SUMPRODUCT((Resultados!$B$1:$B$549=4)*(Resultados!$C$1:$C$549=B30)*1),"")</f>
        <v/>
      </c>
      <c r="J30" s="7" t="str">
        <f>IF(B30&lt;&gt;"",SUMPRODUCT((Resultados!$B$1:$B$549=5)*(Resultados!$C$1:$C$549=B30)*1),"")</f>
        <v/>
      </c>
      <c r="K30" s="7" t="str">
        <f>IF(B30&lt;&gt;"",SUMPRODUCT((Resultados!$B$1:$B$549=6)*(Resultados!$C$1:$C$549=B30)*1),"")</f>
        <v/>
      </c>
      <c r="L30" s="7" t="str">
        <f>IF(B30&lt;&gt;"",SUMPRODUCT((Resultados!$B$1:$B$549=7)*(Resultados!$C$1:$C$549=B30)*1),"")</f>
        <v/>
      </c>
      <c r="M30" s="7" t="str">
        <f>IF(B30&lt;&gt;"",SUMPRODUCT((Resultados!$B$1:$B$549=8)*(Resultados!$C$1:$C$549=B30)*1),"")</f>
        <v/>
      </c>
      <c r="N30" s="7" t="str">
        <f>IF(B30&lt;&gt;"",SUMPRODUCT((Resultados!$B$1:$B$549=9)*(Resultados!$C$1:$C$549=B30)*1),"")</f>
        <v/>
      </c>
      <c r="O30" s="7" t="str">
        <f>IF(B30&lt;&gt;"",SUMPRODUCT((Resultados!$B$1:$B$549=10)*(Resultados!$C$1:$C$549=B30)*1),"")</f>
        <v/>
      </c>
      <c r="P30" s="7" t="str">
        <f>IF(B30&lt;&gt;"",SUMPRODUCT((Resultados!$B$1:$B$549=11)*(Resultados!$C$1:$C$549=B30)*1),"")</f>
        <v/>
      </c>
      <c r="Q30" s="7" t="str">
        <f>IF(B30&lt;&gt;"",SUMPRODUCT((Resultados!$B$1:$B$549=12)*(Resultados!$C$1:$C$549=B30)*1),"")</f>
        <v/>
      </c>
      <c r="R30" s="7" t="str">
        <f>IF(B30&lt;&gt;"",SUMPRODUCT((Resultados!$B$1:$B$549=13)*(Resultados!$C$1:$C$549=B30)*1),"")</f>
        <v/>
      </c>
      <c r="S30" s="7" t="str">
        <f>IF(B30&lt;&gt;"",SUMPRODUCT((Resultados!$B$1:$B$549=14)*(Resultados!$C$1:$C$549=B30)*1),"")</f>
        <v/>
      </c>
      <c r="T30" s="7" t="str">
        <f>IF(B30&lt;&gt;"",SUMPRODUCT((Resultados!$B$1:$B$549=15)*(Resultados!$C$1:$C$549=B30)*1),"")</f>
        <v/>
      </c>
      <c r="U30" s="7" t="str">
        <f>IF(B30&lt;&gt;"",SUMPRODUCT((Resultados!$B$1:$B$549=16)*(Resultados!$C$1:$C$549=B30)*1),"")</f>
        <v/>
      </c>
      <c r="V30" s="7" t="str">
        <f>IF(B30&lt;&gt;"",SUMPRODUCT((Resultados!$B$1:$B$549=17)*(Resultados!$C$1:$C$549=B30)*1),"")</f>
        <v/>
      </c>
      <c r="W30" s="7" t="str">
        <f>IF(B30&lt;&gt;"",SUMPRODUCT((Resultados!$B$1:$B$549=18)*(Resultados!$C$1:$C$549=B30)*1),"")</f>
        <v/>
      </c>
      <c r="X30" s="7" t="str">
        <f>IF(B30&lt;&gt;"",SUMPRODUCT((Resultados!$B$1:$B$549=19)*(Resultados!$C$1:$C$549=B30)*1),"")</f>
        <v/>
      </c>
      <c r="Y30" s="7" t="str">
        <f>IF(B30&lt;&gt;"",SUMPRODUCT((Resultados!$B$1:$B$549=20)*(Resultados!$C$1:$C$549=B30)*1),"")</f>
        <v/>
      </c>
      <c r="Z30" s="7" t="str">
        <f>IF(B30&lt;&gt;"",SUMPRODUCT((Resultados!$B$1:$B$549=21)*(Resultados!$C$1:$C$549=B30)*1),"")</f>
        <v/>
      </c>
      <c r="AA30" s="7" t="str">
        <f>IF(B30&lt;&gt;"",SUMPRODUCT((Resultados!$B$1:$B$549=22)*(Resultados!$C$1:$C$549=B30)*1),"")</f>
        <v/>
      </c>
      <c r="AB30" s="7" t="str">
        <f>IF(B30&lt;&gt;"",SUMPRODUCT((Resultados!$B$1:$B$549=23)*(Resultados!$C$1:$C$549=B30)*1),"")</f>
        <v/>
      </c>
      <c r="AC30" s="7" t="str">
        <f>IF(B30&lt;&gt;"",SUMPRODUCT((Resultados!$B$1:$B$549=24)*(Resultados!$C$1:$C$549=B30)*1),"")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270</v>
      </c>
      <c r="B34" s="1" t="s">
        <v>6</v>
      </c>
      <c r="C34" s="1" t="s">
        <v>8</v>
      </c>
      <c r="D34" s="1" t="s">
        <v>240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271</v>
      </c>
      <c r="AE34" s="11" t="s">
        <v>272</v>
      </c>
      <c r="AF34" s="11" t="s">
        <v>273</v>
      </c>
      <c r="AG34" s="11" t="s">
        <v>274</v>
      </c>
      <c r="AH34" s="11" t="s">
        <v>275</v>
      </c>
      <c r="AI34" s="11" t="s">
        <v>276</v>
      </c>
      <c r="AJ34" s="11" t="s">
        <v>277</v>
      </c>
      <c r="AK34" s="11" t="s">
        <v>278</v>
      </c>
      <c r="AL34" s="10" t="s">
        <v>281</v>
      </c>
      <c r="AM34" s="10" t="s">
        <v>282</v>
      </c>
      <c r="AN34" s="10" t="s">
        <v>283</v>
      </c>
      <c r="AO34" s="10" t="s">
        <v>284</v>
      </c>
      <c r="AP34" s="10" t="s">
        <v>285</v>
      </c>
      <c r="AQ34" s="10" t="s">
        <v>286</v>
      </c>
      <c r="AR34" s="10" t="s">
        <v>287</v>
      </c>
      <c r="AS34" s="10" t="s">
        <v>288</v>
      </c>
      <c r="AT34" s="10" t="s">
        <v>289</v>
      </c>
      <c r="AU34" s="10" t="s">
        <v>290</v>
      </c>
      <c r="AV34" s="10" t="s">
        <v>291</v>
      </c>
      <c r="AW34" s="10" t="s">
        <v>292</v>
      </c>
      <c r="AX34" s="10" t="s">
        <v>293</v>
      </c>
      <c r="AY34" s="10" t="s">
        <v>294</v>
      </c>
      <c r="AZ34" s="10" t="s">
        <v>295</v>
      </c>
      <c r="BA34" s="10" t="s">
        <v>296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 🏆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800</v>
      </c>
      <c r="F35" s="7">
        <f>IF(B35&lt;&gt;"",SUMPRODUCT((Resultados!$B$1:$B$549=1)*(Resultados!$E$1:$E$549=B35)*1),"")</f>
        <v>13</v>
      </c>
      <c r="G35" s="7">
        <f>IF(B35&lt;&gt;"",SUMPRODUCT((Resultados!$B$1:$B$549=2)*(Resultados!$E$1:$E$549=B35)*1),"")</f>
        <v>13</v>
      </c>
      <c r="H35" s="7">
        <f>IF(B35&lt;&gt;"",SUMPRODUCT((Resultados!$B$1:$B$549=3)*(Resultados!$E$1:$E$549=B35)*1),"")</f>
        <v>6</v>
      </c>
      <c r="I35" s="7">
        <f>IF(B35&lt;&gt;"",SUMPRODUCT((Resultados!$B$1:$B$549=4)*(Resultados!$E$1:$E$549=B35)*1),"")</f>
        <v>2</v>
      </c>
      <c r="J35" s="7">
        <f>IF(B35&lt;&gt;"",SUMPRODUCT((Resultados!$B$1:$B$549=5)*(Resultados!$E$1:$E$549=B35)*1),"")</f>
        <v>0</v>
      </c>
      <c r="K35" s="7">
        <f>IF(B35&lt;&gt;"",SUMPRODUCT((Resultados!$B$1:$B$549=6)*(Resultados!$E$1:$E$549=B35)*1),"")</f>
        <v>0</v>
      </c>
      <c r="L35" s="7">
        <f>IF(B35&lt;&gt;"",SUMPRODUCT((Resultados!$B$1:$B$549=7)*(Resultados!$E$1:$E$549=B35)*1),"")</f>
        <v>1</v>
      </c>
      <c r="M35" s="7">
        <f>IF(B35&lt;&gt;"",SUMPRODUCT((Resultados!$B$1:$B$549=8)*(Resultados!$E$1:$E$549=B35)*1),"")</f>
        <v>1</v>
      </c>
      <c r="N35" s="7">
        <f>IF(B35&lt;&gt;"",SUMPRODUCT((Resultados!$B$1:$B$549=9)*(Resultados!$E$1:$E$549=B35)*1),"")</f>
        <v>1</v>
      </c>
      <c r="O35" s="7">
        <f>IF(B35&lt;&gt;"",SUMPRODUCT((Resultados!$B$1:$B$549=10)*(Resultados!$E$1:$E$549=B35)*1),"")</f>
        <v>0</v>
      </c>
      <c r="P35" s="7">
        <f>IF(B35&lt;&gt;"",SUMPRODUCT((Resultados!$B$1:$B$549=11)*(Resultados!$E$1:$E$549=B35)*1),"")</f>
        <v>0</v>
      </c>
      <c r="Q35" s="7">
        <f>IF(B35&lt;&gt;"",SUMPRODUCT((Resultados!$B$1:$B$549=12)*(Resultados!$E$1:$E$549=B35)*1),"")</f>
        <v>0</v>
      </c>
      <c r="R35" s="7">
        <f>IF(B35&lt;&gt;"",SUMPRODUCT((Resultados!$B$1:$B$549=13)*(Resultados!$E$1:$ED$549=B35)*1),"")</f>
        <v>1</v>
      </c>
      <c r="S35" s="7">
        <f>IF(B35&lt;&gt;"",SUMPRODUCT((Resultados!$B$1:$B$549=14)*(Resultados!$E$1:$E$549=B35)*1),"")</f>
        <v>0</v>
      </c>
      <c r="T35" s="7">
        <f>IF(B35&lt;&gt;"",SUMPRODUCT((Resultados!$B$1:$B$549=15)*(Resultados!$E$1:$E$549=B35)*1),"")</f>
        <v>0</v>
      </c>
      <c r="U35" s="7">
        <f>IF(B35&lt;&gt;"",SUMPRODUCT((Resultados!$B$1:$B$549=16)*(Resultados!$E$1:$E$549=B35)*1),"")</f>
        <v>0</v>
      </c>
      <c r="V35" s="7">
        <f>IF(B35&lt;&gt;"",SUMPRODUCT((Resultados!$B$1:$B$549=17)*(Resultados!$E$1:$E$549=B35)*1),"")</f>
        <v>0</v>
      </c>
      <c r="W35" s="7">
        <f>IF(B35&lt;&gt;"",SUMPRODUCT((Resultados!$B$1:$B$549=18)*(Resultados!$E$1:$E$549=B35)*1),"")</f>
        <v>2</v>
      </c>
      <c r="X35" s="7">
        <f>IF(B35&lt;&gt;"",SUMPRODUCT((Resultados!$B$1:$B$549=19)*(Resultados!$E$1:$E$549=B35)*1),"")</f>
        <v>0</v>
      </c>
      <c r="Y35" s="7">
        <f>IF(B35&lt;&gt;"",SUMPRODUCT((Resultados!$B$1:$B$549=20)*(Resultados!$E$1:$E$549=B35)*1),"")</f>
        <v>1</v>
      </c>
      <c r="Z35" s="7">
        <f>IF(B35&lt;&gt;"",SUMPRODUCT((Resultados!$B$1:$B$549=21)*(Resultados!$E$1:$E$549=B35)*1),"")</f>
        <v>0</v>
      </c>
      <c r="AA35" s="7">
        <f>IF(B35&lt;&gt;"",SUMPRODUCT((Resultados!$B$1:$B$549=22)*(Resultados!$E$1:$E$549=B35)*1),"")</f>
        <v>0</v>
      </c>
      <c r="AB35" s="7">
        <f>IF(B35&lt;&gt;"",SUMPRODUCT((Resultados!$B$1:$B$549=23)*(Resultados!$E$1:$E$549=B35)*1),"")</f>
        <v>0</v>
      </c>
      <c r="AC35" s="7">
        <f>IF(B35&lt;&gt;"",SUMPRODUCT((Resultados!$B$1:$B$549=24)*(Resultados!$E$1:$E$549=B35)*1),"")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4</v>
      </c>
      <c r="B36" s="1" t="str">
        <f>IF('Equipes e Pilotos'!I4&lt;&gt;"",'Equipes e Pilotos'!I4,"")</f>
        <v>Ferrari</v>
      </c>
      <c r="C36" s="1" t="str">
        <f>IF(B36&lt;&gt;"",VLOOKUP(B36,'Equipes e Pilotos'!$I$3:$K$15,2,FALSE),"")</f>
        <v>Itália</v>
      </c>
      <c r="D36" s="1" t="str">
        <f>IF(B36&lt;&gt;"",VLOOKUP(B36,'Equipes e Pilotos'!$I$3:$K$15,3,FALSE),"")</f>
        <v>Ferrari</v>
      </c>
      <c r="E36" s="1">
        <f>IF(B36&lt;&gt;"",SUMIF(Resultados!E:E,B36,Resultados!F:F),"")</f>
        <v>382</v>
      </c>
      <c r="F36" s="7">
        <f>IF(B36&lt;&gt;"",SUMPRODUCT((Resultados!$B$1:$B$549=1)*(Resultados!$E$1:$E$549=B36)*1),"")</f>
        <v>1</v>
      </c>
      <c r="G36" s="7">
        <f>IF(B36&lt;&gt;"",SUMPRODUCT((Resultados!$B$1:$B$549=2)*(Resultados!$E$1:$E$549=B36)*1),"")</f>
        <v>1</v>
      </c>
      <c r="H36" s="7">
        <f>IF(B36&lt;&gt;"",SUMPRODUCT((Resultados!$B$1:$B$549=3)*(Resultados!$E$1:$E$549=B36)*1),"")</f>
        <v>5</v>
      </c>
      <c r="I36" s="7">
        <f>IF(B36&lt;&gt;"",SUMPRODUCT((Resultados!$B$1:$B$549=4)*(Resultados!$E$1:$E$549=B36)*1),"")</f>
        <v>8</v>
      </c>
      <c r="J36" s="7">
        <f>IF(B36&lt;&gt;"",SUMPRODUCT((Resultados!$B$1:$B$549=5)*(Resultados!$E$1:$E$549=B36)*1),"")</f>
        <v>4</v>
      </c>
      <c r="K36" s="7">
        <f>IF(B36&lt;&gt;"",SUMPRODUCT((Resultados!$B$1:$B$549=6)*(Resultados!$E$1:$E$549=B36)*1),"")</f>
        <v>4</v>
      </c>
      <c r="L36" s="7">
        <f>IF(B36&lt;&gt;"",SUMPRODUCT((Resultados!$B$1:$B$549=7)*(Resultados!$E$1:$E$549=B36)*1),"")</f>
        <v>4</v>
      </c>
      <c r="M36" s="7">
        <f>IF(B36&lt;&gt;"",SUMPRODUCT((Resultados!$B$1:$B$549=8)*(Resultados!$E$1:$E$549=B36)*1),"")</f>
        <v>3</v>
      </c>
      <c r="N36" s="7">
        <f>IF(B36&lt;&gt;"",SUMPRODUCT((Resultados!$B$1:$B$549=9)*(Resultados!$E$1:$E$549=B36)*1),"")</f>
        <v>1</v>
      </c>
      <c r="O36" s="7">
        <f>IF(B36&lt;&gt;"",SUMPRODUCT((Resultados!$B$1:$B$549=10)*(Resultados!$E$1:$E$549=B36)*1),"")</f>
        <v>1</v>
      </c>
      <c r="P36" s="7">
        <f>IF(B36&lt;&gt;"",SUMPRODUCT((Resultados!$B$1:$B$549=11)*(Resultados!$E$1:$E$549=B36)*1),"")</f>
        <v>0</v>
      </c>
      <c r="Q36" s="7">
        <f>IF(B36&lt;&gt;"",SUMPRODUCT((Resultados!$B$1:$B$549=12)*(Resultados!$E$1:$E$549=B36)*1),"")</f>
        <v>1</v>
      </c>
      <c r="R36" s="7">
        <f>IF(B36&lt;&gt;"",SUMPRODUCT((Resultados!$B$1:$B$549=13)*(Resultados!$E$1:$ED$549=B36)*1),"")</f>
        <v>1</v>
      </c>
      <c r="S36" s="7">
        <f>IF(B36&lt;&gt;"",SUMPRODUCT((Resultados!$B$1:$B$549=14)*(Resultados!$E$1:$E$549=B36)*1),"")</f>
        <v>1</v>
      </c>
      <c r="T36" s="7">
        <f>IF(B36&lt;&gt;"",SUMPRODUCT((Resultados!$B$1:$B$549=15)*(Resultados!$E$1:$E$549=B36)*1),"")</f>
        <v>1</v>
      </c>
      <c r="U36" s="7">
        <f>IF(B36&lt;&gt;"",SUMPRODUCT((Resultados!$B$1:$B$549=16)*(Resultados!$E$1:$E$549=B36)*1),"")</f>
        <v>0</v>
      </c>
      <c r="V36" s="7">
        <f>IF(B36&lt;&gt;"",SUMPRODUCT((Resultados!$B$1:$B$549=17)*(Resultados!$E$1:$E$549=B36)*1),"")</f>
        <v>0</v>
      </c>
      <c r="W36" s="7">
        <f>IF(B36&lt;&gt;"",SUMPRODUCT((Resultados!$B$1:$B$549=18)*(Resultados!$E$1:$E$549=B36)*1),"")</f>
        <v>1</v>
      </c>
      <c r="X36" s="7">
        <f>IF(B36&lt;&gt;"",SUMPRODUCT((Resultados!$B$1:$B$549=19)*(Resultados!$E$1:$E$549=B36)*1),"")</f>
        <v>2</v>
      </c>
      <c r="Y36" s="7">
        <f>IF(B36&lt;&gt;"",SUMPRODUCT((Resultados!$B$1:$B$549=20)*(Resultados!$E$1:$E$549=B36)*1),"")</f>
        <v>2</v>
      </c>
      <c r="Z36" s="7">
        <f>IF(B36&lt;&gt;"",SUMPRODUCT((Resultados!$B$1:$B$549=21)*(Resultados!$E$1:$E$549=B36)*1),"")</f>
        <v>0</v>
      </c>
      <c r="AA36" s="7">
        <f>IF(B36&lt;&gt;"",SUMPRODUCT((Resultados!$B$1:$B$549=22)*(Resultados!$E$1:$E$549=B36)*1),"")</f>
        <v>0</v>
      </c>
      <c r="AB36" s="7">
        <f>IF(B36&lt;&gt;"",SUMPRODUCT((Resultados!$B$1:$B$549=23)*(Resultados!$E$1:$E$549=B36)*1),"")</f>
        <v>0</v>
      </c>
      <c r="AC36" s="7">
        <f>IF(B36&lt;&gt;"",SUMPRODUCT((Resultados!$B$1:$B$549=24)*(Resultados!$E$1:$E$549=B36)*1),"")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3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RBPT</v>
      </c>
      <c r="E37" s="1">
        <f>IF(B37&lt;&gt;"",SUMIF(Resultados!E:E,B37,Resultados!F:F)-3,"")</f>
        <v>426</v>
      </c>
      <c r="F37" s="7">
        <f>IF(B37&lt;&gt;"",SUMPRODUCT((Resultados!$B$1:$B$549=1)*(Resultados!$E$1:$E$549=B37)*1),"")</f>
        <v>5</v>
      </c>
      <c r="G37" s="7">
        <f>IF(B37&lt;&gt;"",SUMPRODUCT((Resultados!$B$1:$B$549=2)*(Resultados!$E$1:$E$549=B37)*1),"")</f>
        <v>4</v>
      </c>
      <c r="H37" s="7">
        <f>IF(B37&lt;&gt;"",SUMPRODUCT((Resultados!$B$1:$B$549=3)*(Resultados!$E$1:$E$549=B37)*1),"")</f>
        <v>1</v>
      </c>
      <c r="I37" s="7">
        <f>IF(B37&lt;&gt;"",SUMPRODUCT((Resultados!$B$1:$B$549=4)*(Resultados!$E$1:$E$549=B37)*1),"")</f>
        <v>4</v>
      </c>
      <c r="J37" s="7">
        <f>IF(B37&lt;&gt;"",SUMPRODUCT((Resultados!$B$1:$B$549=5)*(Resultados!$E$1:$E$549=B37)*1),"")</f>
        <v>1</v>
      </c>
      <c r="K37" s="7">
        <f>IF(B37&lt;&gt;"",SUMPRODUCT((Resultados!$B$1:$B$549=6)*(Resultados!$E$1:$E$549=B37)*1),"")</f>
        <v>4</v>
      </c>
      <c r="L37" s="7">
        <f>IF(B37&lt;&gt;"",SUMPRODUCT((Resultados!$B$1:$B$549=7)*(Resultados!$E$1:$E$549=B37)*1),"")</f>
        <v>0</v>
      </c>
      <c r="M37" s="7">
        <f>IF(B37&lt;&gt;"",SUMPRODUCT((Resultados!$B$1:$B$549=8)*(Resultados!$E$1:$E$549=B37)*1),"")</f>
        <v>0</v>
      </c>
      <c r="N37" s="7">
        <f>IF(B37&lt;&gt;"",SUMPRODUCT((Resultados!$B$1:$B$549=9)*(Resultados!$E$1:$E$549=B37)*1),"")</f>
        <v>3</v>
      </c>
      <c r="O37" s="7">
        <f>IF(B37&lt;&gt;"",SUMPRODUCT((Resultados!$B$1:$B$549=10)*(Resultados!$E$1:$E$549=B37)*1),"")</f>
        <v>3</v>
      </c>
      <c r="P37" s="7">
        <f>IF(B37&lt;&gt;"",SUMPRODUCT((Resultados!$B$1:$B$549=11)*(Resultados!$E$1:$E$549=B37)*1),"")</f>
        <v>1</v>
      </c>
      <c r="Q37" s="7">
        <f>IF(B37&lt;&gt;"",SUMPRODUCT((Resultados!$B$1:$B$549=12)*(Resultados!$E$1:$E$549=B37)*1),"")</f>
        <v>3</v>
      </c>
      <c r="R37" s="7">
        <f>IF(B37&lt;&gt;"",SUMPRODUCT((Resultados!$B$1:$B$549=13)*(Resultados!$E$1:$ED$549=B37)*1),"")</f>
        <v>3</v>
      </c>
      <c r="S37" s="7">
        <f>IF(B37&lt;&gt;"",SUMPRODUCT((Resultados!$B$1:$B$549=14)*(Resultados!$E$1:$E$549=B37)*1),"")</f>
        <v>0</v>
      </c>
      <c r="T37" s="7">
        <f>IF(B37&lt;&gt;"",SUMPRODUCT((Resultados!$B$1:$B$549=15)*(Resultados!$E$1:$E$549=B37)*1),"")</f>
        <v>1</v>
      </c>
      <c r="U37" s="7">
        <f>IF(B37&lt;&gt;"",SUMPRODUCT((Resultados!$B$1:$B$549=16)*(Resultados!$E$1:$E$549=B37)*1),"")</f>
        <v>2</v>
      </c>
      <c r="V37" s="7">
        <f>IF(B37&lt;&gt;"",SUMPRODUCT((Resultados!$B$1:$B$549=17)*(Resultados!$E$1:$E$549=B37)*1),"")</f>
        <v>3</v>
      </c>
      <c r="W37" s="7">
        <f>IF(B37&lt;&gt;"",SUMPRODUCT((Resultados!$B$1:$B$549=18)*(Resultados!$E$1:$E$549=B37)*1),"")</f>
        <v>1</v>
      </c>
      <c r="X37" s="7">
        <f>IF(B37&lt;&gt;"",SUMPRODUCT((Resultados!$B$1:$B$549=19)*(Resultados!$E$1:$E$549=B37)*1),"")</f>
        <v>1</v>
      </c>
      <c r="Y37" s="7">
        <f>IF(B37&lt;&gt;"",SUMPRODUCT((Resultados!$B$1:$B$549=20)*(Resultados!$E$1:$E$549=B37)*1),"")</f>
        <v>0</v>
      </c>
      <c r="Z37" s="7">
        <f>IF(B37&lt;&gt;"",SUMPRODUCT((Resultados!$B$1:$B$549=21)*(Resultados!$E$1:$E$549=B37)*1),"")</f>
        <v>0</v>
      </c>
      <c r="AA37" s="7">
        <f>IF(B37&lt;&gt;"",SUMPRODUCT((Resultados!$B$1:$B$549=22)*(Resultados!$E$1:$E$549=B37)*1),"")</f>
        <v>0</v>
      </c>
      <c r="AB37" s="7">
        <f>IF(B37&lt;&gt;"",SUMPRODUCT((Resultados!$B$1:$B$549=23)*(Resultados!$E$1:$E$549=B37)*1),"")</f>
        <v>0</v>
      </c>
      <c r="AC37" s="7">
        <f>IF(B37&lt;&gt;"",SUMPRODUCT((Resultados!$B$1:$B$549=24)*(Resultados!$E$1:$E$549=B37)*1),"")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Mercedes</v>
      </c>
      <c r="C38" s="1" t="str">
        <f>IF(B38&lt;&gt;"",VLOOKUP(B38,'Equipes e Pilotos'!$I$3:$K$15,2,FALSE),"")</f>
        <v>Alemanha</v>
      </c>
      <c r="D38" s="1" t="str">
        <f>IF(B38&lt;&gt;"",VLOOKUP(B38,'Equipes e Pilotos'!$I$3:$K$15,3,FALSE),"")</f>
        <v>Mercedes</v>
      </c>
      <c r="E38" s="1">
        <f>IF(B38&lt;&gt;"",SUMIF(Resultados!E:E,B38,Resultados!F:F),"")</f>
        <v>459</v>
      </c>
      <c r="F38" s="7">
        <f>IF(B38&lt;&gt;"",SUMPRODUCT((Resultados!$B$1:$B$549=1)*(Resultados!$E$1:$E$549=B38)*1),"")</f>
        <v>1</v>
      </c>
      <c r="G38" s="7">
        <f>IF(B38&lt;&gt;"",SUMPRODUCT((Resultados!$B$1:$B$549=2)*(Resultados!$E$1:$E$549=B38)*1),"")</f>
        <v>2</v>
      </c>
      <c r="H38" s="7">
        <f>IF(B38&lt;&gt;"",SUMPRODUCT((Resultados!$B$1:$B$549=3)*(Resultados!$E$1:$E$549=B38)*1),"")</f>
        <v>5</v>
      </c>
      <c r="I38" s="7">
        <f>IF(B38&lt;&gt;"",SUMPRODUCT((Resultados!$B$1:$B$549=4)*(Resultados!$E$1:$E$549=B38)*1),"")</f>
        <v>6</v>
      </c>
      <c r="J38" s="7">
        <f>IF(B38&lt;&gt;"",SUMPRODUCT((Resultados!$B$1:$B$549=5)*(Resultados!$E$1:$E$549=B38)*1),"")</f>
        <v>5</v>
      </c>
      <c r="K38" s="7">
        <f>IF(B38&lt;&gt;"",SUMPRODUCT((Resultados!$B$1:$B$549=6)*(Resultados!$E$1:$E$549=B38)*1),"")</f>
        <v>4</v>
      </c>
      <c r="L38" s="7">
        <f>IF(B38&lt;&gt;"",SUMPRODUCT((Resultados!$B$1:$B$549=7)*(Resultados!$E$1:$E$549=B38)*1),"")</f>
        <v>3</v>
      </c>
      <c r="M38" s="7">
        <f>IF(B38&lt;&gt;"",SUMPRODUCT((Resultados!$B$1:$B$549=8)*(Resultados!$E$1:$E$549=B38)*1),"")</f>
        <v>0</v>
      </c>
      <c r="N38" s="7">
        <f>IF(B38&lt;&gt;"",SUMPRODUCT((Resultados!$B$1:$B$549=9)*(Resultados!$E$1:$E$549=B38)*1),"")</f>
        <v>1</v>
      </c>
      <c r="O38" s="7">
        <f>IF(B38&lt;&gt;"",SUMPRODUCT((Resultados!$B$1:$B$549=10)*(Resultados!$E$1:$E$549=B38)*1),"")</f>
        <v>2</v>
      </c>
      <c r="P38" s="7">
        <f>IF(B38&lt;&gt;"",SUMPRODUCT((Resultados!$B$1:$B$549=11)*(Resultados!$E$1:$E$549=B38)*1),"")</f>
        <v>2</v>
      </c>
      <c r="Q38" s="7">
        <f>IF(B38&lt;&gt;"",SUMPRODUCT((Resultados!$B$1:$B$549=12)*(Resultados!$E$1:$E$549=B38)*1),"")</f>
        <v>1</v>
      </c>
      <c r="R38" s="7">
        <f>IF(B38&lt;&gt;"",SUMPRODUCT((Resultados!$B$1:$B$549=13)*(Resultados!$E$1:$ED$549=B38)*1),"")</f>
        <v>1</v>
      </c>
      <c r="S38" s="7">
        <f>IF(B38&lt;&gt;"",SUMPRODUCT((Resultados!$B$1:$B$549=14)*(Resultados!$E$1:$E$549=B38)*1),"")</f>
        <v>0</v>
      </c>
      <c r="T38" s="7">
        <f>IF(B38&lt;&gt;"",SUMPRODUCT((Resultados!$B$1:$B$549=15)*(Resultados!$E$1:$E$549=B38)*1),"")</f>
        <v>0</v>
      </c>
      <c r="U38" s="7">
        <f>IF(B38&lt;&gt;"",SUMPRODUCT((Resultados!$B$1:$B$549=16)*(Resultados!$E$1:$E$549=B38)*1),"")</f>
        <v>3</v>
      </c>
      <c r="V38" s="7">
        <f>IF(B38&lt;&gt;"",SUMPRODUCT((Resultados!$B$1:$B$549=17)*(Resultados!$E$1:$E$549=B38)*1),"")</f>
        <v>1</v>
      </c>
      <c r="W38" s="7">
        <f>IF(B38&lt;&gt;"",SUMPRODUCT((Resultados!$B$1:$B$549=18)*(Resultados!$E$1:$E$549=B38)*1),"")</f>
        <v>2</v>
      </c>
      <c r="X38" s="7">
        <f>IF(B38&lt;&gt;"",SUMPRODUCT((Resultados!$B$1:$B$549=19)*(Resultados!$E$1:$E$549=B38)*1),"")</f>
        <v>2</v>
      </c>
      <c r="Y38" s="7">
        <f>IF(B38&lt;&gt;"",SUMPRODUCT((Resultados!$B$1:$B$549=20)*(Resultados!$E$1:$E$549=B38)*1),"")</f>
        <v>0</v>
      </c>
      <c r="Z38" s="7">
        <f>IF(B38&lt;&gt;"",SUMPRODUCT((Resultados!$B$1:$B$549=21)*(Resultados!$E$1:$E$549=B38)*1),"")</f>
        <v>0</v>
      </c>
      <c r="AA38" s="7">
        <f>IF(B38&lt;&gt;"",SUMPRODUCT((Resultados!$B$1:$B$549=22)*(Resultados!$E$1:$E$549=B38)*1),"")</f>
        <v>0</v>
      </c>
      <c r="AB38" s="7">
        <f>IF(B38&lt;&gt;"",SUMPRODUCT((Resultados!$B$1:$B$549=23)*(Resultados!$E$1:$E$549=B38)*1),"")</f>
        <v>0</v>
      </c>
      <c r="AC38" s="7">
        <f>IF(B38&lt;&gt;"",SUMPRODUCT((Resultados!$B$1:$B$549=24)*(Resultados!$E$1:$E$549=B38)*1),"")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7</v>
      </c>
      <c r="B39" s="1" t="str">
        <f>IF('Equipes e Pilotos'!I7&lt;&gt;"",'Equipes e Pilotos'!I7,"")</f>
        <v>Aston Martin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80</v>
      </c>
      <c r="F39" s="7">
        <f>IF(B39&lt;&gt;"",SUMPRODUCT((Resultados!$B$1:$B$549=1)*(Resultados!$E$1:$E$549=B39)*1),"")</f>
        <v>0</v>
      </c>
      <c r="G39" s="7">
        <f>IF(B39&lt;&gt;"",SUMPRODUCT((Resultados!$B$1:$B$549=2)*(Resultados!$E$1:$E$549=B39)*1),"")</f>
        <v>0</v>
      </c>
      <c r="H39" s="7">
        <f>IF(B39&lt;&gt;"",SUMPRODUCT((Resultados!$B$1:$B$549=3)*(Resultados!$E$1:$E$549=B39)*1),"")</f>
        <v>0</v>
      </c>
      <c r="I39" s="7">
        <f>IF(B39&lt;&gt;"",SUMPRODUCT((Resultados!$B$1:$B$549=4)*(Resultados!$E$1:$E$549=B39)*1),"")</f>
        <v>0</v>
      </c>
      <c r="J39" s="7">
        <f>IF(B39&lt;&gt;"",SUMPRODUCT((Resultados!$B$1:$B$549=5)*(Resultados!$E$1:$E$549=B39)*1),"")</f>
        <v>2</v>
      </c>
      <c r="K39" s="7">
        <f>IF(B39&lt;&gt;"",SUMPRODUCT((Resultados!$B$1:$B$549=6)*(Resultados!$E$1:$E$549=B39)*1),"")</f>
        <v>1</v>
      </c>
      <c r="L39" s="7">
        <f>IF(B39&lt;&gt;"",SUMPRODUCT((Resultados!$B$1:$B$549=7)*(Resultados!$E$1:$E$549=B39)*1),"")</f>
        <v>5</v>
      </c>
      <c r="M39" s="7">
        <f>IF(B39&lt;&gt;"",SUMPRODUCT((Resultados!$B$1:$B$549=8)*(Resultados!$E$1:$E$549=B39)*1),"")</f>
        <v>1</v>
      </c>
      <c r="N39" s="7">
        <f>IF(B39&lt;&gt;"",SUMPRODUCT((Resultados!$B$1:$B$549=9)*(Resultados!$E$1:$E$549=B39)*1),"")</f>
        <v>4</v>
      </c>
      <c r="O39" s="7">
        <f>IF(B39&lt;&gt;"",SUMPRODUCT((Resultados!$B$1:$B$549=10)*(Resultados!$E$1:$E$549=B39)*1),"")</f>
        <v>1</v>
      </c>
      <c r="P39" s="7">
        <f>IF(B39&lt;&gt;"",SUMPRODUCT((Resultados!$B$1:$B$549=11)*(Resultados!$E$1:$E$549=B39)*1),"")</f>
        <v>3</v>
      </c>
      <c r="Q39" s="7">
        <f>IF(B39&lt;&gt;"",SUMPRODUCT((Resultados!$B$1:$B$549=12)*(Resultados!$E$1:$E$549=B39)*1),"")</f>
        <v>0</v>
      </c>
      <c r="R39" s="7">
        <f>IF(B39&lt;&gt;"",SUMPRODUCT((Resultados!$B$1:$B$549=13)*(Resultados!$E$1:$ED$549=B39)*1),"")</f>
        <v>1</v>
      </c>
      <c r="S39" s="7">
        <f>IF(B39&lt;&gt;"",SUMPRODUCT((Resultados!$B$1:$B$549=14)*(Resultados!$E$1:$E$549=B39)*1),"")</f>
        <v>3</v>
      </c>
      <c r="T39" s="7">
        <f>IF(B39&lt;&gt;"",SUMPRODUCT((Resultados!$B$1:$B$549=15)*(Resultados!$E$1:$E$549=B39)*1),"")</f>
        <v>5</v>
      </c>
      <c r="U39" s="7">
        <f>IF(B39&lt;&gt;"",SUMPRODUCT((Resultados!$B$1:$B$549=16)*(Resultados!$E$1:$E$549=B39)*1),"")</f>
        <v>2</v>
      </c>
      <c r="V39" s="7">
        <f>IF(B39&lt;&gt;"",SUMPRODUCT((Resultados!$B$1:$B$549=17)*(Resultados!$E$1:$E$549=B39)*1),"")</f>
        <v>6</v>
      </c>
      <c r="W39" s="7">
        <f>IF(B39&lt;&gt;"",SUMPRODUCT((Resultados!$B$1:$B$549=18)*(Resultados!$E$1:$E$549=B39)*1),"")</f>
        <v>2</v>
      </c>
      <c r="X39" s="7">
        <f>IF(B39&lt;&gt;"",SUMPRODUCT((Resultados!$B$1:$B$549=19)*(Resultados!$E$1:$E$549=B39)*1),"")</f>
        <v>2</v>
      </c>
      <c r="Y39" s="7">
        <f>IF(B39&lt;&gt;"",SUMPRODUCT((Resultados!$B$1:$B$549=20)*(Resultados!$E$1:$E$549=B39)*1),"")</f>
        <v>2</v>
      </c>
      <c r="Z39" s="7">
        <f>IF(B39&lt;&gt;"",SUMPRODUCT((Resultados!$B$1:$B$549=21)*(Resultados!$E$1:$E$549=B39)*1),"")</f>
        <v>0</v>
      </c>
      <c r="AA39" s="7">
        <f>IF(B39&lt;&gt;"",SUMPRODUCT((Resultados!$B$1:$B$549=22)*(Resultados!$E$1:$E$549=B39)*1),"")</f>
        <v>0</v>
      </c>
      <c r="AB39" s="7">
        <f>IF(B39&lt;&gt;"",SUMPRODUCT((Resultados!$B$1:$B$549=23)*(Resultados!$E$1:$E$549=B39)*1),"")</f>
        <v>0</v>
      </c>
      <c r="AC39" s="7">
        <f>IF(B39&lt;&gt;"",SUMPRODUCT((Resultados!$B$1:$B$549=24)*(Resultados!$E$1:$E$549=B39)*1),"")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10</v>
      </c>
      <c r="B40" s="1" t="str">
        <f>IF('Equipes e Pilotos'!I8&lt;&gt;"",'Equipes e Pilotos'!I8,"")</f>
        <v>Alpine</v>
      </c>
      <c r="C40" s="1" t="str">
        <f>IF(B40&lt;&gt;"",VLOOKUP(B40,'Equipes e Pilotos'!$I$3:$K$15,2,FALSE),"")</f>
        <v>França</v>
      </c>
      <c r="D40" s="1" t="str">
        <f>IF(B40&lt;&gt;"",VLOOKUP(B40,'Equipes e Pilotos'!$I$3:$K$15,3,FALSE),"")</f>
        <v>Renault</v>
      </c>
      <c r="E40" s="1">
        <f>IF(B40&lt;&gt;"",SUMIF(Resultados!E:E,B40,Resultados!F:F),"")</f>
        <v>22</v>
      </c>
      <c r="F40" s="7">
        <f>IF(B40&lt;&gt;"",SUMPRODUCT((Resultados!$B$1:$B$549=1)*(Resultados!$E$1:$E$549=B40)*1),"")</f>
        <v>0</v>
      </c>
      <c r="G40" s="7">
        <f>IF(B40&lt;&gt;"",SUMPRODUCT((Resultados!$B$1:$B$549=2)*(Resultados!$E$1:$E$549=B40)*1),"")</f>
        <v>0</v>
      </c>
      <c r="H40" s="7">
        <f>IF(B40&lt;&gt;"",SUMPRODUCT((Resultados!$B$1:$B$549=3)*(Resultados!$E$1:$E$549=B40)*1),"")</f>
        <v>0</v>
      </c>
      <c r="I40" s="7">
        <f>IF(B40&lt;&gt;"",SUMPRODUCT((Resultados!$B$1:$B$549=4)*(Resultados!$E$1:$E$549=B40)*1),"")</f>
        <v>0</v>
      </c>
      <c r="J40" s="7">
        <f>IF(B40&lt;&gt;"",SUMPRODUCT((Resultados!$B$1:$B$549=5)*(Resultados!$E$1:$E$549=B40)*1),"")</f>
        <v>0</v>
      </c>
      <c r="K40" s="7">
        <f>IF(B40&lt;&gt;"",SUMPRODUCT((Resultados!$B$1:$B$549=6)*(Resultados!$E$1:$E$549=B40)*1),"")</f>
        <v>1</v>
      </c>
      <c r="L40" s="7">
        <f>IF(B40&lt;&gt;"",SUMPRODUCT((Resultados!$B$1:$B$549=7)*(Resultados!$E$1:$E$549=B40)*1),"")</f>
        <v>1</v>
      </c>
      <c r="M40" s="7">
        <f>IF(B40&lt;&gt;"",SUMPRODUCT((Resultados!$B$1:$B$549=8)*(Resultados!$E$1:$E$549=B40)*1),"")</f>
        <v>2</v>
      </c>
      <c r="N40" s="7">
        <f>IF(B40&lt;&gt;"",SUMPRODUCT((Resultados!$B$1:$B$549=9)*(Resultados!$E$1:$E$549=B40)*1),"")</f>
        <v>0</v>
      </c>
      <c r="O40" s="7">
        <f>IF(B40&lt;&gt;"",SUMPRODUCT((Resultados!$B$1:$B$549=10)*(Resultados!$E$1:$E$549=B40)*1),"")</f>
        <v>1</v>
      </c>
      <c r="P40" s="7">
        <f>IF(B40&lt;&gt;"",SUMPRODUCT((Resultados!$B$1:$B$549=11)*(Resultados!$E$1:$E$549=B40)*1),"")</f>
        <v>2</v>
      </c>
      <c r="Q40" s="7">
        <f>IF(B40&lt;&gt;"",SUMPRODUCT((Resultados!$B$1:$B$549=12)*(Resultados!$E$1:$E$549=B40)*1),"")</f>
        <v>1</v>
      </c>
      <c r="R40" s="7">
        <f>IF(B40&lt;&gt;"",SUMPRODUCT((Resultados!$B$1:$B$549=13)*(Resultados!$E$1:$ED$549=B40)*1),"")</f>
        <v>7</v>
      </c>
      <c r="S40" s="7">
        <f>IF(B40&lt;&gt;"",SUMPRODUCT((Resultados!$B$1:$B$549=14)*(Resultados!$E$1:$E$549=B40)*1),"")</f>
        <v>1</v>
      </c>
      <c r="T40" s="7">
        <f>IF(B40&lt;&gt;"",SUMPRODUCT((Resultados!$B$1:$B$549=15)*(Resultados!$E$1:$E$549=B40)*1),"")</f>
        <v>4</v>
      </c>
      <c r="U40" s="7">
        <f>IF(B40&lt;&gt;"",SUMPRODUCT((Resultados!$B$1:$B$549=16)*(Resultados!$E$1:$E$549=B40)*1),"")</f>
        <v>3</v>
      </c>
      <c r="V40" s="7">
        <f>IF(B40&lt;&gt;"",SUMPRODUCT((Resultados!$B$1:$B$549=17)*(Resultados!$E$1:$E$549=B40)*1),"")</f>
        <v>3</v>
      </c>
      <c r="W40" s="7">
        <f>IF(B40&lt;&gt;"",SUMPRODUCT((Resultados!$B$1:$B$549=18)*(Resultados!$E$1:$E$549=B40)*1),"")</f>
        <v>2</v>
      </c>
      <c r="X40" s="7">
        <f>IF(B40&lt;&gt;"",SUMPRODUCT((Resultados!$B$1:$B$549=19)*(Resultados!$E$1:$E$549=B40)*1),"")</f>
        <v>5</v>
      </c>
      <c r="Y40" s="7">
        <f>IF(B40&lt;&gt;"",SUMPRODUCT((Resultados!$B$1:$B$549=20)*(Resultados!$E$1:$E$549=B40)*1),"")</f>
        <v>7</v>
      </c>
      <c r="Z40" s="7">
        <f>IF(B40&lt;&gt;"",SUMPRODUCT((Resultados!$B$1:$B$549=21)*(Resultados!$E$1:$E$549=B40)*1),"")</f>
        <v>0</v>
      </c>
      <c r="AA40" s="7">
        <f>IF(B40&lt;&gt;"",SUMPRODUCT((Resultados!$B$1:$B$549=22)*(Resultados!$E$1:$E$549=B40)*1),"")</f>
        <v>0</v>
      </c>
      <c r="AB40" s="7">
        <f>IF(B40&lt;&gt;"",SUMPRODUCT((Resultados!$B$1:$B$549=23)*(Resultados!$E$1:$E$549=B40)*1),"")</f>
        <v>0</v>
      </c>
      <c r="AC40" s="7">
        <f>IF(B40&lt;&gt;"",SUMPRODUCT((Resultados!$B$1:$B$549=24)*(Resultados!$E$1:$E$549=B40)*1),"")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8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73</v>
      </c>
      <c r="F41" s="7">
        <f>IF(B41&lt;&gt;"",SUMPRODUCT((Resultados!$B$1:$B$549=1)*(Resultados!$E$1:$E$549=B41)*1),"")</f>
        <v>0</v>
      </c>
      <c r="G41" s="7">
        <f>IF(B41&lt;&gt;"",SUMPRODUCT((Resultados!$B$1:$B$549=2)*(Resultados!$E$1:$E$549=B41)*1),"")</f>
        <v>0</v>
      </c>
      <c r="H41" s="7">
        <f>IF(B41&lt;&gt;"",SUMPRODUCT((Resultados!$B$1:$B$549=3)*(Resultados!$E$1:$E$549=B41)*1),"")</f>
        <v>0</v>
      </c>
      <c r="I41" s="7">
        <f>IF(B41&lt;&gt;"",SUMPRODUCT((Resultados!$B$1:$B$549=4)*(Resultados!$E$1:$E$549=B41)*1),"")</f>
        <v>0</v>
      </c>
      <c r="J41" s="7">
        <f>IF(B41&lt;&gt;"",SUMPRODUCT((Resultados!$B$1:$B$549=5)*(Resultados!$E$1:$E$549=B41)*1),"")</f>
        <v>2</v>
      </c>
      <c r="K41" s="7">
        <f>IF(B41&lt;&gt;"",SUMPRODUCT((Resultados!$B$1:$B$549=6)*(Resultados!$E$1:$E$549=B41)*1),"")</f>
        <v>1</v>
      </c>
      <c r="L41" s="7">
        <f>IF(B41&lt;&gt;"",SUMPRODUCT((Resultados!$B$1:$B$549=7)*(Resultados!$E$1:$E$549=B41)*1),"")</f>
        <v>2</v>
      </c>
      <c r="M41" s="7">
        <f>IF(B41&lt;&gt;"",SUMPRODUCT((Resultados!$B$1:$B$549=8)*(Resultados!$E$1:$E$549=B41)*1),"")</f>
        <v>2</v>
      </c>
      <c r="N41" s="7">
        <f>IF(B41&lt;&gt;"",SUMPRODUCT((Resultados!$B$1:$B$549=9)*(Resultados!$E$1:$E$549=B41)*1),"")</f>
        <v>1</v>
      </c>
      <c r="O41" s="7">
        <f>IF(B41&lt;&gt;"",SUMPRODUCT((Resultados!$B$1:$B$549=10)*(Resultados!$E$1:$E$549=B41)*1),"")</f>
        <v>4</v>
      </c>
      <c r="P41" s="7">
        <f>IF(B41&lt;&gt;"",SUMPRODUCT((Resultados!$B$1:$B$549=11)*(Resultados!$E$1:$E$549=B41)*1),"")</f>
        <v>4</v>
      </c>
      <c r="Q41" s="7">
        <f>IF(B41&lt;&gt;"",SUMPRODUCT((Resultados!$B$1:$B$549=12)*(Resultados!$E$1:$E$549=B41)*1),"")</f>
        <v>5</v>
      </c>
      <c r="R41" s="7">
        <f>IF(B41&lt;&gt;"",SUMPRODUCT((Resultados!$B$1:$B$549=13)*(Resultados!$E$1:$ED$549=B41)*1),"")</f>
        <v>3</v>
      </c>
      <c r="S41" s="7">
        <f>IF(B41&lt;&gt;"",SUMPRODUCT((Resultados!$B$1:$B$549=14)*(Resultados!$E$1:$E$549=B41)*1),"")</f>
        <v>4</v>
      </c>
      <c r="T41" s="7">
        <f>IF(B41&lt;&gt;"",SUMPRODUCT((Resultados!$B$1:$B$549=15)*(Resultados!$E$1:$E$549=B41)*1),"")</f>
        <v>3</v>
      </c>
      <c r="U41" s="7">
        <f>IF(B41&lt;&gt;"",SUMPRODUCT((Resultados!$B$1:$B$549=16)*(Resultados!$E$1:$E$549=B41)*1),"")</f>
        <v>3</v>
      </c>
      <c r="V41" s="7">
        <f>IF(B41&lt;&gt;"",SUMPRODUCT((Resultados!$B$1:$B$549=17)*(Resultados!$E$1:$E$549=B41)*1),"")</f>
        <v>2</v>
      </c>
      <c r="W41" s="7">
        <f>IF(B41&lt;&gt;"",SUMPRODUCT((Resultados!$B$1:$B$549=18)*(Resultados!$E$1:$E$549=B41)*1),"")</f>
        <v>1</v>
      </c>
      <c r="X41" s="7">
        <f>IF(B41&lt;&gt;"",SUMPRODUCT((Resultados!$B$1:$B$549=19)*(Resultados!$E$1:$E$549=B41)*1),"")</f>
        <v>1</v>
      </c>
      <c r="Y41" s="7">
        <f>IF(B41&lt;&gt;"",SUMPRODUCT((Resultados!$B$1:$B$549=20)*(Resultados!$E$1:$E$549=B41)*1),"")</f>
        <v>2</v>
      </c>
      <c r="Z41" s="7">
        <f>IF(B41&lt;&gt;"",SUMPRODUCT((Resultados!$B$1:$B$549=21)*(Resultados!$E$1:$E$549=B41)*1),"")</f>
        <v>0</v>
      </c>
      <c r="AA41" s="7">
        <f>IF(B41&lt;&gt;"",SUMPRODUCT((Resultados!$B$1:$B$549=22)*(Resultados!$E$1:$E$549=B41)*1),"")</f>
        <v>0</v>
      </c>
      <c r="AB41" s="7">
        <f>IF(B41&lt;&gt;"",SUMPRODUCT((Resultados!$B$1:$B$549=23)*(Resultados!$E$1:$E$549=B41)*1),"")</f>
        <v>0</v>
      </c>
      <c r="AC41" s="7">
        <f>IF(B41&lt;&gt;"",SUMPRODUCT((Resultados!$B$1:$B$549=24)*(Resultados!$E$1:$E$549=B41)*1),"")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6</v>
      </c>
      <c r="B42" s="1" t="str">
        <f>IF('Equipes e Pilotos'!I10&lt;&gt;"",'Equipes e Pilotos'!I10,"")</f>
        <v>Racing Bulls</v>
      </c>
      <c r="C42" s="1" t="str">
        <f>IF(B42&lt;&gt;"",VLOOKUP(B42,'Equipes e Pilotos'!$I$3:$K$15,2,FALSE),"")</f>
        <v>Itália</v>
      </c>
      <c r="D42" s="1" t="str">
        <f>IF(B42&lt;&gt;"",VLOOKUP(B42,'Equipes e Pilotos'!$I$3:$K$15,3,FALSE),"")</f>
        <v>RBPT</v>
      </c>
      <c r="E42" s="1">
        <f>IF(B42&lt;&gt;"",SUMIF(Resultados!E:E,B42,Resultados!F:F)+3,"")</f>
        <v>92</v>
      </c>
      <c r="F42" s="7">
        <f>IF(B42&lt;&gt;"",SUMPRODUCT((Resultados!$B$1:$B$549=1)*(Resultados!$E$1:$E$549=B42)*1),"")</f>
        <v>0</v>
      </c>
      <c r="G42" s="7">
        <f>IF(B42&lt;&gt;"",SUMPRODUCT((Resultados!$B$1:$B$549=2)*(Resultados!$E$1:$E$549=B42)*1),"")</f>
        <v>0</v>
      </c>
      <c r="H42" s="7">
        <f>IF(B42&lt;&gt;"",SUMPRODUCT((Resultados!$B$1:$B$549=3)*(Resultados!$E$1:$E$549=B42)*1),"")</f>
        <v>1</v>
      </c>
      <c r="I42" s="7">
        <f>IF(B42&lt;&gt;"",SUMPRODUCT((Resultados!$B$1:$B$549=4)*(Resultados!$E$1:$E$549=B42)*1),"")</f>
        <v>0</v>
      </c>
      <c r="J42" s="7">
        <f>IF(B42&lt;&gt;"",SUMPRODUCT((Resultados!$B$1:$B$549=5)*(Resultados!$E$1:$E$549=B42)*1),"")</f>
        <v>1</v>
      </c>
      <c r="K42" s="7">
        <f>IF(B42&lt;&gt;"",SUMPRODUCT((Resultados!$B$1:$B$549=6)*(Resultados!$E$1:$E$549=B42)*1),"")</f>
        <v>2</v>
      </c>
      <c r="L42" s="7">
        <f>IF(B42&lt;&gt;"",SUMPRODUCT((Resultados!$B$1:$B$549=7)*(Resultados!$E$1:$E$549=B42)*1),"")</f>
        <v>1</v>
      </c>
      <c r="M42" s="7">
        <f>IF(B42&lt;&gt;"",SUMPRODUCT((Resultados!$B$1:$B$549=8)*(Resultados!$E$1:$E$549=B42)*1),"")</f>
        <v>5</v>
      </c>
      <c r="N42" s="7">
        <f>IF(B42&lt;&gt;"",SUMPRODUCT((Resultados!$B$1:$B$549=9)*(Resultados!$E$1:$E$549=B42)*1),"")</f>
        <v>1</v>
      </c>
      <c r="O42" s="7">
        <f>IF(B42&lt;&gt;"",SUMPRODUCT((Resultados!$B$1:$B$549=10)*(Resultados!$E$1:$E$549=B42)*1),"")</f>
        <v>5</v>
      </c>
      <c r="P42" s="7">
        <f>IF(B42&lt;&gt;"",SUMPRODUCT((Resultados!$B$1:$B$549=11)*(Resultados!$E$1:$E$549=B42)*1),"")</f>
        <v>4</v>
      </c>
      <c r="Q42" s="7">
        <f>IF(B42&lt;&gt;"",SUMPRODUCT((Resultados!$B$1:$B$549=12)*(Resultados!$E$1:$E$549=B42)*1),"")</f>
        <v>4</v>
      </c>
      <c r="R42" s="7">
        <f>IF(B42&lt;&gt;"",SUMPRODUCT((Resultados!$B$1:$B$549=13)*(Resultados!$E$1:$ED$549=B42)*1),"")</f>
        <v>3</v>
      </c>
      <c r="S42" s="7">
        <f>IF(B42&lt;&gt;"",SUMPRODUCT((Resultados!$B$1:$B$549=14)*(Resultados!$E$1:$E$549=B42)*1),"")</f>
        <v>3</v>
      </c>
      <c r="T42" s="7">
        <f>IF(B42&lt;&gt;"",SUMPRODUCT((Resultados!$B$1:$B$549=15)*(Resultados!$E$1:$E$549=B42)*1),"")</f>
        <v>1</v>
      </c>
      <c r="U42" s="7">
        <f>IF(B42&lt;&gt;"",SUMPRODUCT((Resultados!$B$1:$B$549=16)*(Resultados!$E$1:$E$549=B42)*1),"")</f>
        <v>2</v>
      </c>
      <c r="V42" s="7">
        <f>IF(B42&lt;&gt;"",SUMPRODUCT((Resultados!$B$1:$B$549=17)*(Resultados!$E$1:$E$549=B42)*1),"")</f>
        <v>3</v>
      </c>
      <c r="W42" s="7">
        <f>IF(B42&lt;&gt;"",SUMPRODUCT((Resultados!$B$1:$B$549=18)*(Resultados!$E$1:$E$549=B42)*1),"")</f>
        <v>0</v>
      </c>
      <c r="X42" s="7">
        <f>IF(B42&lt;&gt;"",SUMPRODUCT((Resultados!$B$1:$B$549=19)*(Resultados!$E$1:$E$549=B42)*1),"")</f>
        <v>2</v>
      </c>
      <c r="Y42" s="7">
        <f>IF(B42&lt;&gt;"",SUMPRODUCT((Resultados!$B$1:$B$549=20)*(Resultados!$E$1:$E$549=B42)*1),"")</f>
        <v>2</v>
      </c>
      <c r="Z42" s="7">
        <f>IF(B42&lt;&gt;"",SUMPRODUCT((Resultados!$B$1:$B$549=21)*(Resultados!$E$1:$E$549=B42)*1),"")</f>
        <v>0</v>
      </c>
      <c r="AA42" s="7">
        <f>IF(B42&lt;&gt;"",SUMPRODUCT((Resultados!$B$1:$B$549=22)*(Resultados!$E$1:$E$549=B42)*1),"")</f>
        <v>0</v>
      </c>
      <c r="AB42" s="7">
        <f>IF(B42&lt;&gt;"",SUMPRODUCT((Resultados!$B$1:$B$549=23)*(Resultados!$E$1:$E$549=B42)*1),"")</f>
        <v>0</v>
      </c>
      <c r="AC42" s="7">
        <f>IF(B42&lt;&gt;"",SUMPRODUCT((Resultados!$B$1:$B$549=24)*(Resultados!$E$1:$E$549=B42)*1),"")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5</v>
      </c>
      <c r="B43" s="1" t="str">
        <f>IF('Equipes e Pilotos'!I11&lt;&gt;"",'Equipes e Pilotos'!I11,"")</f>
        <v>Williams</v>
      </c>
      <c r="C43" s="1" t="str">
        <f>IF(B43&lt;&gt;"",VLOOKUP(B43,'Equipes e Pilotos'!$I$3:$K$15,2,FALSE),"")</f>
        <v>Inglaterra</v>
      </c>
      <c r="D43" s="1" t="str">
        <f>IF(B43&lt;&gt;"",VLOOKUP(B43,'Equipes e Pilotos'!$I$3:$K$15,3,FALSE),"")</f>
        <v>Mercedes</v>
      </c>
      <c r="E43" s="1">
        <f>IF(B43&lt;&gt;"",SUMIF(Resultados!E:E,B43,Resultados!F:F),"")</f>
        <v>137</v>
      </c>
      <c r="F43" s="7">
        <f>IF(B43&lt;&gt;"",SUMPRODUCT((Resultados!$B$1:$B$549=1)*(Resultados!$E$1:$E$549=B43)*1),"")</f>
        <v>0</v>
      </c>
      <c r="G43" s="7">
        <f>IF(B43&lt;&gt;"",SUMPRODUCT((Resultados!$B$1:$B$549=2)*(Resultados!$E$1:$E$549=B43)*1),"")</f>
        <v>0</v>
      </c>
      <c r="H43" s="7">
        <f>IF(B43&lt;&gt;"",SUMPRODUCT((Resultados!$B$1:$B$549=3)*(Resultados!$E$1:$E$549=B43)*1),"")</f>
        <v>1</v>
      </c>
      <c r="I43" s="7">
        <f>IF(B43&lt;&gt;"",SUMPRODUCT((Resultados!$B$1:$B$549=4)*(Resultados!$E$1:$E$549=B43)*1),"")</f>
        <v>0</v>
      </c>
      <c r="J43" s="7">
        <f>IF(B43&lt;&gt;"",SUMPRODUCT((Resultados!$B$1:$B$549=5)*(Resultados!$E$1:$E$549=B43)*1),"")</f>
        <v>4</v>
      </c>
      <c r="K43" s="7">
        <f>IF(B43&lt;&gt;"",SUMPRODUCT((Resultados!$B$1:$B$549=6)*(Resultados!$E$1:$E$549=B43)*1),"")</f>
        <v>2</v>
      </c>
      <c r="L43" s="7">
        <f>IF(B43&lt;&gt;"",SUMPRODUCT((Resultados!$B$1:$B$549=7)*(Resultados!$E$1:$E$549=B43)*1),"")</f>
        <v>2</v>
      </c>
      <c r="M43" s="7">
        <f>IF(B43&lt;&gt;"",SUMPRODUCT((Resultados!$B$1:$B$549=8)*(Resultados!$E$1:$E$549=B43)*1),"")</f>
        <v>3</v>
      </c>
      <c r="N43" s="7">
        <f>IF(B43&lt;&gt;"",SUMPRODUCT((Resultados!$B$1:$B$549=9)*(Resultados!$E$1:$E$549=B43)*1),"")</f>
        <v>4</v>
      </c>
      <c r="O43" s="7">
        <f>IF(B43&lt;&gt;"",SUMPRODUCT((Resultados!$B$1:$B$549=10)*(Resultados!$E$1:$E$549=B43)*1),"")</f>
        <v>3</v>
      </c>
      <c r="P43" s="7">
        <f>IF(B43&lt;&gt;"",SUMPRODUCT((Resultados!$B$1:$B$549=11)*(Resultados!$E$1:$E$549=B43)*1),"")</f>
        <v>3</v>
      </c>
      <c r="Q43" s="7">
        <f>IF(B43&lt;&gt;"",SUMPRODUCT((Resultados!$B$1:$B$549=12)*(Resultados!$E$1:$E$549=B43)*1),"")</f>
        <v>2</v>
      </c>
      <c r="R43" s="7">
        <f>IF(B43&lt;&gt;"",SUMPRODUCT((Resultados!$B$1:$B$549=13)*(Resultados!$E$1:$ED$549=B43)*1),"")</f>
        <v>2</v>
      </c>
      <c r="S43" s="7">
        <f>IF(B43&lt;&gt;"",SUMPRODUCT((Resultados!$B$1:$B$549=14)*(Resultados!$E$1:$E$549=B43)*1),"")</f>
        <v>3</v>
      </c>
      <c r="T43" s="7">
        <f>IF(B43&lt;&gt;"",SUMPRODUCT((Resultados!$B$1:$B$549=15)*(Resultados!$E$1:$E$549=B43)*1),"")</f>
        <v>1</v>
      </c>
      <c r="U43" s="7">
        <f>IF(B43&lt;&gt;"",SUMPRODUCT((Resultados!$B$1:$B$549=16)*(Resultados!$E$1:$E$549=B43)*1),"")</f>
        <v>1</v>
      </c>
      <c r="V43" s="7">
        <f>IF(B43&lt;&gt;"",SUMPRODUCT((Resultados!$B$1:$B$549=17)*(Resultados!$E$1:$E$549=B43)*1),"")</f>
        <v>2</v>
      </c>
      <c r="W43" s="7">
        <f>IF(B43&lt;&gt;"",SUMPRODUCT((Resultados!$B$1:$B$549=18)*(Resultados!$E$1:$E$549=B43)*1),"")</f>
        <v>2</v>
      </c>
      <c r="X43" s="7">
        <f>IF(B43&lt;&gt;"",SUMPRODUCT((Resultados!$B$1:$B$549=19)*(Resultados!$E$1:$E$549=B43)*1),"")</f>
        <v>3</v>
      </c>
      <c r="Y43" s="7">
        <f>IF(B43&lt;&gt;"",SUMPRODUCT((Resultados!$B$1:$B$549=20)*(Resultados!$E$1:$E$549=B43)*1),"")</f>
        <v>2</v>
      </c>
      <c r="Z43" s="7">
        <f>IF(B43&lt;&gt;"",SUMPRODUCT((Resultados!$B$1:$B$549=21)*(Resultados!$E$1:$E$549=B43)*1),"")</f>
        <v>0</v>
      </c>
      <c r="AA43" s="7">
        <f>IF(B43&lt;&gt;"",SUMPRODUCT((Resultados!$B$1:$B$549=22)*(Resultados!$E$1:$E$549=B43)*1),"")</f>
        <v>0</v>
      </c>
      <c r="AB43" s="7">
        <f>IF(B43&lt;&gt;"",SUMPRODUCT((Resultados!$B$1:$B$549=23)*(Resultados!$E$1:$E$549=B43)*1),"")</f>
        <v>0</v>
      </c>
      <c r="AC43" s="7">
        <f>IF(B43&lt;&gt;"",SUMPRODUCT((Resultados!$B$1:$B$549=24)*(Resultados!$E$1:$E$549=B43)*1),"")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9</v>
      </c>
      <c r="B44" s="1" t="str">
        <f>IF('Equipes e Pilotos'!I12&lt;&gt;"",'Equipes e Pilotos'!I12,"")</f>
        <v>Kick Sauber</v>
      </c>
      <c r="C44" s="1" t="str">
        <f>IF(B44&lt;&gt;"",VLOOKUP(B44,'Equipes e Pilotos'!$I$3:$K$15,2,FALSE),"")</f>
        <v>Suíça</v>
      </c>
      <c r="D44" s="1" t="str">
        <f>IF(B44&lt;&gt;"",VLOOKUP(B44,'Equipes e Pilotos'!$I$3:$K$15,3,FALSE),"")</f>
        <v>Ferrari</v>
      </c>
      <c r="E44" s="1">
        <f>IF(B44&lt;&gt;"",SUMIF(Resultados!E:E,B44,Resultados!F:F),"")</f>
        <v>68</v>
      </c>
      <c r="F44" s="7">
        <f>IF(B44&lt;&gt;"",SUMPRODUCT((Resultados!$B$1:$B$549=1)*(Resultados!$E$1:$E$549=B44)*1),"")</f>
        <v>0</v>
      </c>
      <c r="G44" s="7">
        <f>IF(B44&lt;&gt;"",SUMPRODUCT((Resultados!$B$1:$B$549=2)*(Resultados!$E$1:$E$549=B44)*1),"")</f>
        <v>0</v>
      </c>
      <c r="H44" s="7">
        <f>IF(B44&lt;&gt;"",SUMPRODUCT((Resultados!$B$1:$B$549=3)*(Resultados!$E$1:$E$549=B44)*1),"")</f>
        <v>1</v>
      </c>
      <c r="I44" s="7">
        <f>IF(B44&lt;&gt;"",SUMPRODUCT((Resultados!$B$1:$B$549=4)*(Resultados!$E$1:$E$549=B44)*1),"")</f>
        <v>0</v>
      </c>
      <c r="J44" s="7">
        <f>IF(B44&lt;&gt;"",SUMPRODUCT((Resultados!$B$1:$B$549=5)*(Resultados!$E$1:$E$549=B44)*1),"")</f>
        <v>1</v>
      </c>
      <c r="K44" s="7">
        <f>IF(B44&lt;&gt;"",SUMPRODUCT((Resultados!$B$1:$B$549=6)*(Resultados!$E$1:$E$549=B44)*1),"")</f>
        <v>1</v>
      </c>
      <c r="L44" s="7">
        <f>IF(B44&lt;&gt;"",SUMPRODUCT((Resultados!$B$1:$B$549=7)*(Resultados!$E$1:$E$549=B44)*1),"")</f>
        <v>1</v>
      </c>
      <c r="M44" s="7">
        <f>IF(B44&lt;&gt;"",SUMPRODUCT((Resultados!$B$1:$B$549=8)*(Resultados!$E$1:$E$549=B44)*1),"")</f>
        <v>3</v>
      </c>
      <c r="N44" s="7">
        <f>IF(B44&lt;&gt;"",SUMPRODUCT((Resultados!$B$1:$B$549=9)*(Resultados!$E$1:$E$549=B44)*1),"")</f>
        <v>4</v>
      </c>
      <c r="O44" s="7">
        <f>IF(B44&lt;&gt;"",SUMPRODUCT((Resultados!$B$1:$B$549=10)*(Resultados!$E$1:$E$549=B44)*1),"")</f>
        <v>0</v>
      </c>
      <c r="P44" s="7">
        <f>IF(B44&lt;&gt;"",SUMPRODUCT((Resultados!$B$1:$B$549=11)*(Resultados!$E$1:$E$549=B44)*1),"")</f>
        <v>1</v>
      </c>
      <c r="Q44" s="7">
        <f>IF(B44&lt;&gt;"",SUMPRODUCT((Resultados!$B$1:$B$549=12)*(Resultados!$E$1:$E$549=B44)*1),"")</f>
        <v>3</v>
      </c>
      <c r="R44" s="7">
        <f>IF(B44&lt;&gt;"",SUMPRODUCT((Resultados!$B$1:$B$549=13)*(Resultados!$E$1:$ED$549=B44)*1),"")</f>
        <v>1</v>
      </c>
      <c r="S44" s="7">
        <f>IF(B44&lt;&gt;"",SUMPRODUCT((Resultados!$B$1:$B$549=14)*(Resultados!$E$1:$E$549=B44)*1),"")</f>
        <v>5</v>
      </c>
      <c r="T44" s="7">
        <f>IF(B44&lt;&gt;"",SUMPRODUCT((Resultados!$B$1:$B$549=15)*(Resultados!$E$1:$E$549=B44)*1),"")</f>
        <v>4</v>
      </c>
      <c r="U44" s="7">
        <f>IF(B44&lt;&gt;"",SUMPRODUCT((Resultados!$B$1:$B$549=16)*(Resultados!$E$1:$E$549=B44)*1),"")</f>
        <v>4</v>
      </c>
      <c r="V44" s="7">
        <f>IF(B44&lt;&gt;"",SUMPRODUCT((Resultados!$B$1:$B$549=17)*(Resultados!$E$1:$E$549=B44)*1),"")</f>
        <v>0</v>
      </c>
      <c r="W44" s="7">
        <f>IF(B44&lt;&gt;"",SUMPRODUCT((Resultados!$B$1:$B$549=18)*(Resultados!$E$1:$E$549=B44)*1),"")</f>
        <v>7</v>
      </c>
      <c r="X44" s="7">
        <f>IF(B44&lt;&gt;"",SUMPRODUCT((Resultados!$B$1:$B$549=19)*(Resultados!$E$1:$E$549=B44)*1),"")</f>
        <v>2</v>
      </c>
      <c r="Y44" s="7">
        <f>IF(B44&lt;&gt;"",SUMPRODUCT((Resultados!$B$1:$B$549=20)*(Resultados!$E$1:$E$549=B44)*1),"")</f>
        <v>2</v>
      </c>
      <c r="Z44" s="7">
        <f>IF(B44&lt;&gt;"",SUMPRODUCT((Resultados!$B$1:$B$549=21)*(Resultados!$E$1:$E$549=B44)*1),"")</f>
        <v>0</v>
      </c>
      <c r="AA44" s="7">
        <f>IF(B44&lt;&gt;"",SUMPRODUCT((Resultados!$B$1:$B$549=22)*(Resultados!$E$1:$E$549=B44)*1),"")</f>
        <v>0</v>
      </c>
      <c r="AB44" s="7">
        <f>IF(B44&lt;&gt;"",SUMPRODUCT((Resultados!$B$1:$B$549=23)*(Resultados!$E$1:$E$549=B44)*1),"")</f>
        <v>0</v>
      </c>
      <c r="AC44" s="7">
        <f>IF(B44&lt;&gt;"",SUMPRODUCT((Resultados!$B$1:$B$549=24)*(Resultados!$E$1:$E$549=B44)*1),"")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 t="str">
        <f t="shared" si="26"/>
        <v/>
      </c>
      <c r="B45" s="1" t="str">
        <f>IF('Equipes e Pilotos'!I13&lt;&gt;"",'Equipes e Pilotos'!I13,"")</f>
        <v/>
      </c>
      <c r="C45" s="1" t="str">
        <f>IF(B45&lt;&gt;"",VLOOKUP(B45,'Equipes e Pilotos'!$I$3:$K$15,2,FALSE),"")</f>
        <v/>
      </c>
      <c r="D45" s="1" t="str">
        <f>IF(B45&lt;&gt;"",VLOOKUP(B45,'Equipes e Pilotos'!$I$3:$K$15,3,FALSE),"")</f>
        <v/>
      </c>
      <c r="E45" s="1" t="str">
        <f>IF(B45&lt;&gt;"",SUMIF(Resultados!E:E,B45,Resultados!F:F),"")</f>
        <v/>
      </c>
      <c r="F45" s="7" t="str">
        <f>IF(B45&lt;&gt;"",SUMPRODUCT((Resultados!$B$1:$B$549=1)*(Resultados!$E$1:$E$549=B45)*1),"")</f>
        <v/>
      </c>
      <c r="G45" s="7" t="str">
        <f>IF(B45&lt;&gt;"",SUMPRODUCT((Resultados!$B$1:$B$549=2)*(Resultados!$E$1:$E$549=B45)*1),"")</f>
        <v/>
      </c>
      <c r="H45" s="7" t="str">
        <f>IF(B45&lt;&gt;"",SUMPRODUCT((Resultados!$B$1:$B$549=3)*(Resultados!$E$1:$E$549=B45)*1),"")</f>
        <v/>
      </c>
      <c r="I45" s="7" t="str">
        <f>IF(B45&lt;&gt;"",SUMPRODUCT((Resultados!$B$1:$B$549=4)*(Resultados!$E$1:$E$549=B45)*1),"")</f>
        <v/>
      </c>
      <c r="J45" s="7" t="str">
        <f>IF(B45&lt;&gt;"",SUMPRODUCT((Resultados!$B$1:$B$549=5)*(Resultados!$E$1:$E$549=B45)*1),"")</f>
        <v/>
      </c>
      <c r="K45" s="7" t="str">
        <f>IF(B45&lt;&gt;"",SUMPRODUCT((Resultados!$B$1:$B$549=6)*(Resultados!$E$1:$E$549=B45)*1),"")</f>
        <v/>
      </c>
      <c r="L45" s="7" t="str">
        <f>IF(B45&lt;&gt;"",SUMPRODUCT((Resultados!$B$1:$B$549=7)*(Resultados!$E$1:$E$549=B45)*1),"")</f>
        <v/>
      </c>
      <c r="M45" s="7" t="str">
        <f>IF(B45&lt;&gt;"",SUMPRODUCT((Resultados!$B$1:$B$549=8)*(Resultados!$E$1:$E$549=B45)*1),"")</f>
        <v/>
      </c>
      <c r="N45" s="7" t="str">
        <f>IF(B45&lt;&gt;"",SUMPRODUCT((Resultados!$B$1:$B$549=9)*(Resultados!$E$1:$E$549=B45)*1),"")</f>
        <v/>
      </c>
      <c r="O45" s="7" t="str">
        <f>IF(B45&lt;&gt;"",SUMPRODUCT((Resultados!$B$1:$B$549=10)*(Resultados!$E$1:$E$549=B45)*1),"")</f>
        <v/>
      </c>
      <c r="P45" s="7" t="str">
        <f>IF(B45&lt;&gt;"",SUMPRODUCT((Resultados!$B$1:$B$549=11)*(Resultados!$E$1:$E$549=B45)*1),"")</f>
        <v/>
      </c>
      <c r="Q45" s="7" t="str">
        <f>IF(B45&lt;&gt;"",SUMPRODUCT((Resultados!$B$1:$B$549=12)*(Resultados!$E$1:$E$549=B45)*1),"")</f>
        <v/>
      </c>
      <c r="R45" s="7" t="str">
        <f>IF(B45&lt;&gt;"",SUMPRODUCT((Resultados!$B$1:$B$549=13)*(Resultados!$E$1:$ED$549=B45)*1),"")</f>
        <v/>
      </c>
      <c r="S45" s="7" t="str">
        <f>IF(B45&lt;&gt;"",SUMPRODUCT((Resultados!$B$1:$B$549=14)*(Resultados!$E$1:$E$549=B45)*1),"")</f>
        <v/>
      </c>
      <c r="T45" s="7" t="str">
        <f>IF(B45&lt;&gt;"",SUMPRODUCT((Resultados!$B$1:$B$549=15)*(Resultados!$E$1:$E$549=B45)*1),"")</f>
        <v/>
      </c>
      <c r="U45" s="7" t="str">
        <f>IF(B45&lt;&gt;"",SUMPRODUCT((Resultados!$B$1:$B$549=16)*(Resultados!$E$1:$E$549=B45)*1),"")</f>
        <v/>
      </c>
      <c r="V45" s="7" t="str">
        <f>IF(B45&lt;&gt;"",SUMPRODUCT((Resultados!$B$1:$B$549=17)*(Resultados!$E$1:$E$549=B45)*1),"")</f>
        <v/>
      </c>
      <c r="W45" s="7" t="str">
        <f>IF(B45&lt;&gt;"",SUMPRODUCT((Resultados!$B$1:$B$549=18)*(Resultados!$E$1:$E$549=B45)*1),"")</f>
        <v/>
      </c>
      <c r="X45" s="7" t="str">
        <f>IF(B45&lt;&gt;"",SUMPRODUCT((Resultados!$B$1:$B$549=19)*(Resultados!$E$1:$E$549=B45)*1),"")</f>
        <v/>
      </c>
      <c r="Y45" s="7" t="str">
        <f>IF(B45&lt;&gt;"",SUMPRODUCT((Resultados!$B$1:$B$549=20)*(Resultados!$E$1:$E$549=B45)*1),"")</f>
        <v/>
      </c>
      <c r="Z45" s="7" t="str">
        <f>IF(B45&lt;&gt;"",SUMPRODUCT((Resultados!$B$1:$B$549=21)*(Resultados!$E$1:$E$549=B45)*1),"")</f>
        <v/>
      </c>
      <c r="AA45" s="7" t="str">
        <f>IF(B45&lt;&gt;"",SUMPRODUCT((Resultados!$B$1:$B$549=22)*(Resultados!$E$1:$E$549=B45)*1),"")</f>
        <v/>
      </c>
      <c r="AB45" s="7" t="str">
        <f>IF(B45&lt;&gt;"",SUMPRODUCT((Resultados!$B$1:$B$549=23)*(Resultados!$E$1:$E$549=B45)*1),"")</f>
        <v/>
      </c>
      <c r="AC45" s="7" t="str">
        <f>IF(B45&lt;&gt;"",SUMPRODUCT((Resultados!$B$1:$B$549=24)*(Resultados!$E$1:$E$549=B45)*1),"")</f>
        <v/>
      </c>
      <c r="AD45" s="6" t="str">
        <f t="shared" si="27"/>
        <v/>
      </c>
      <c r="AE45" s="6" t="str">
        <f t="shared" si="28"/>
        <v/>
      </c>
      <c r="AF45" s="6" t="str">
        <f t="shared" si="29"/>
        <v/>
      </c>
      <c r="AG45" s="6" t="str">
        <f t="shared" si="30"/>
        <v/>
      </c>
      <c r="AH45" s="6" t="str">
        <f t="shared" si="31"/>
        <v/>
      </c>
      <c r="AI45" s="6" t="str">
        <f t="shared" si="32"/>
        <v/>
      </c>
      <c r="AJ45" s="6" t="str">
        <f t="shared" si="33"/>
        <v/>
      </c>
      <c r="AK45" s="6" t="str">
        <f t="shared" si="34"/>
        <v/>
      </c>
      <c r="AL45" s="6" t="str">
        <f t="shared" si="35"/>
        <v/>
      </c>
      <c r="AM45" s="6" t="str">
        <f t="shared" si="36"/>
        <v/>
      </c>
      <c r="AN45" s="6" t="str">
        <f t="shared" si="37"/>
        <v/>
      </c>
      <c r="AO45" s="6" t="str">
        <f t="shared" si="38"/>
        <v/>
      </c>
      <c r="AP45" s="6" t="str">
        <f t="shared" si="39"/>
        <v/>
      </c>
      <c r="AQ45" s="6" t="str">
        <f t="shared" si="40"/>
        <v/>
      </c>
      <c r="AR45" s="6" t="str">
        <f t="shared" si="41"/>
        <v/>
      </c>
      <c r="AS45" s="6" t="str">
        <f t="shared" si="42"/>
        <v/>
      </c>
      <c r="AT45" s="6" t="str">
        <f t="shared" si="43"/>
        <v/>
      </c>
      <c r="AU45" s="6" t="str">
        <f t="shared" si="44"/>
        <v/>
      </c>
      <c r="AV45" s="6" t="str">
        <f t="shared" si="45"/>
        <v/>
      </c>
      <c r="AW45" s="6" t="str">
        <f t="shared" si="46"/>
        <v/>
      </c>
      <c r="AX45" s="6" t="str">
        <f t="shared" si="47"/>
        <v/>
      </c>
      <c r="AY45" s="6" t="str">
        <f t="shared" si="48"/>
        <v/>
      </c>
      <c r="AZ45" s="6" t="str">
        <f t="shared" si="49"/>
        <v/>
      </c>
      <c r="BA45" s="6" t="str">
        <f t="shared" si="50"/>
        <v/>
      </c>
      <c r="BB45" s="6" t="str">
        <f t="shared" si="51"/>
        <v/>
      </c>
      <c r="BC45" s="6" t="str">
        <f>IF(B45&lt;&gt;"",'Equipes e Pilotos'!H13,"")</f>
        <v/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IF(B46&lt;&gt;"",SUMPRODUCT((Resultados!$B$1:$B$549=1)*(Resultados!$E$1:$E$549=B46)*1),"")</f>
        <v/>
      </c>
      <c r="G46" s="7" t="str">
        <f>IF(B46&lt;&gt;"",SUMPRODUCT((Resultados!$B$1:$B$549=2)*(Resultados!$E$1:$E$549=B46)*1),"")</f>
        <v/>
      </c>
      <c r="H46" s="7" t="str">
        <f>IF(B46&lt;&gt;"",SUMPRODUCT((Resultados!$B$1:$B$549=3)*(Resultados!$E$1:$E$549=B46)*1),"")</f>
        <v/>
      </c>
      <c r="I46" s="7" t="str">
        <f>IF(B46&lt;&gt;"",SUMPRODUCT((Resultados!$B$1:$B$549=4)*(Resultados!$E$1:$E$549=B46)*1),"")</f>
        <v/>
      </c>
      <c r="J46" s="7" t="str">
        <f>IF(B46&lt;&gt;"",SUMPRODUCT((Resultados!$B$1:$B$549=5)*(Resultados!$E$1:$E$549=B46)*1),"")</f>
        <v/>
      </c>
      <c r="K46" s="7" t="str">
        <f>IF(B46&lt;&gt;"",SUMPRODUCT((Resultados!$B$1:$B$549=6)*(Resultados!$E$1:$E$549=B46)*1),"")</f>
        <v/>
      </c>
      <c r="L46" s="7" t="str">
        <f>IF(B46&lt;&gt;"",SUMPRODUCT((Resultados!$B$1:$B$549=7)*(Resultados!$E$1:$E$549=B46)*1),"")</f>
        <v/>
      </c>
      <c r="M46" s="7" t="str">
        <f>IF(B46&lt;&gt;"",SUMPRODUCT((Resultados!$B$1:$B$549=8)*(Resultados!$E$1:$E$549=B46)*1),"")</f>
        <v/>
      </c>
      <c r="N46" s="7" t="str">
        <f>IF(B46&lt;&gt;"",SUMPRODUCT((Resultados!$B$1:$B$549=9)*(Resultados!$E$1:$E$549=B46)*1),"")</f>
        <v/>
      </c>
      <c r="O46" s="7" t="str">
        <f>IF(B46&lt;&gt;"",SUMPRODUCT((Resultados!$B$1:$B$549=10)*(Resultados!$E$1:$E$549=B46)*1),"")</f>
        <v/>
      </c>
      <c r="P46" s="7" t="str">
        <f>IF(B46&lt;&gt;"",SUMPRODUCT((Resultados!$B$1:$B$549=11)*(Resultados!$E$1:$E$549=B46)*1),"")</f>
        <v/>
      </c>
      <c r="Q46" s="7" t="str">
        <f>IF(B46&lt;&gt;"",SUMPRODUCT((Resultados!$B$1:$B$549=12)*(Resultados!$E$1:$E$549=B46)*1),"")</f>
        <v/>
      </c>
      <c r="R46" s="7" t="str">
        <f>IF(B46&lt;&gt;"",SUMPRODUCT((Resultados!$B$1:$B$549=13)*(Resultados!$E$1:$ED$549=B46)*1),"")</f>
        <v/>
      </c>
      <c r="S46" s="7" t="str">
        <f>IF(B46&lt;&gt;"",SUMPRODUCT((Resultados!$B$1:$B$549=14)*(Resultados!$E$1:$E$549=B46)*1),"")</f>
        <v/>
      </c>
      <c r="T46" s="7" t="str">
        <f>IF(B46&lt;&gt;"",SUMPRODUCT((Resultados!$B$1:$B$549=15)*(Resultados!$E$1:$E$549=B46)*1),"")</f>
        <v/>
      </c>
      <c r="U46" s="7" t="str">
        <f>IF(B46&lt;&gt;"",SUMPRODUCT((Resultados!$B$1:$B$549=16)*(Resultados!$E$1:$E$549=B46)*1),"")</f>
        <v/>
      </c>
      <c r="V46" s="7" t="str">
        <f>IF(B46&lt;&gt;"",SUMPRODUCT((Resultados!$B$1:$B$549=17)*(Resultados!$E$1:$E$549=B46)*1),"")</f>
        <v/>
      </c>
      <c r="W46" s="7" t="str">
        <f>IF(B46&lt;&gt;"",SUMPRODUCT((Resultados!$B$1:$B$549=18)*(Resultados!$E$1:$E$549=B46)*1),"")</f>
        <v/>
      </c>
      <c r="X46" s="7" t="str">
        <f>IF(B46&lt;&gt;"",SUMPRODUCT((Resultados!$B$1:$B$549=19)*(Resultados!$E$1:$E$549=B46)*1),"")</f>
        <v/>
      </c>
      <c r="Y46" s="7" t="str">
        <f>IF(B46&lt;&gt;"",SUMPRODUCT((Resultados!$B$1:$B$549=20)*(Resultados!$E$1:$E$549=B46)*1),"")</f>
        <v/>
      </c>
      <c r="Z46" s="7" t="str">
        <f>IF(B46&lt;&gt;"",SUMPRODUCT((Resultados!$B$1:$B$549=21)*(Resultados!$E$1:$E$549=B46)*1),"")</f>
        <v/>
      </c>
      <c r="AA46" s="7" t="str">
        <f>IF(B46&lt;&gt;"",SUMPRODUCT((Resultados!$B$1:$B$549=22)*(Resultados!$E$1:$E$549=B46)*1),"")</f>
        <v/>
      </c>
      <c r="AB46" s="7" t="str">
        <f>IF(B46&lt;&gt;"",SUMPRODUCT((Resultados!$B$1:$B$549=23)*(Resultados!$E$1:$E$549=B46)*1),"")</f>
        <v/>
      </c>
      <c r="AC46" s="7" t="str">
        <f>IF(B46&lt;&gt;"",SUMPRODUCT((Resultados!$B$1:$B$549=24)*(Resultados!$E$1:$E$549=B46)*1),"")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IF(B47&lt;&gt;"",SUMPRODUCT((Resultados!$B$1:$B$549=1)*(Resultados!$E$1:$E$549=B47)*1),"")</f>
        <v/>
      </c>
      <c r="G47" s="7" t="str">
        <f>IF(B47&lt;&gt;"",SUMPRODUCT((Resultados!$B$1:$B$549=2)*(Resultados!$E$1:$E$549=B47)*1),"")</f>
        <v/>
      </c>
      <c r="H47" s="7" t="str">
        <f>IF(B47&lt;&gt;"",SUMPRODUCT((Resultados!$B$1:$B$549=3)*(Resultados!$E$1:$E$549=B47)*1),"")</f>
        <v/>
      </c>
      <c r="I47" s="7" t="str">
        <f>IF(B47&lt;&gt;"",SUMPRODUCT((Resultados!$B$1:$B$549=4)*(Resultados!$E$1:$E$549=B47)*1),"")</f>
        <v/>
      </c>
      <c r="J47" s="7" t="str">
        <f>IF(B47&lt;&gt;"",SUMPRODUCT((Resultados!$B$1:$B$549=5)*(Resultados!$E$1:$E$549=B47)*1),"")</f>
        <v/>
      </c>
      <c r="K47" s="7" t="str">
        <f>IF(B47&lt;&gt;"",SUMPRODUCT((Resultados!$B$1:$B$549=6)*(Resultados!$E$1:$E$549=B47)*1),"")</f>
        <v/>
      </c>
      <c r="L47" s="7" t="str">
        <f>IF(B47&lt;&gt;"",SUMPRODUCT((Resultados!$B$1:$B$549=7)*(Resultados!$E$1:$E$549=B47)*1),"")</f>
        <v/>
      </c>
      <c r="M47" s="7" t="str">
        <f>IF(B47&lt;&gt;"",SUMPRODUCT((Resultados!$B$1:$B$549=8)*(Resultados!$E$1:$E$549=B47)*1),"")</f>
        <v/>
      </c>
      <c r="N47" s="7" t="str">
        <f>IF(B47&lt;&gt;"",SUMPRODUCT((Resultados!$B$1:$B$549=9)*(Resultados!$E$1:$E$549=B47)*1),"")</f>
        <v/>
      </c>
      <c r="O47" s="7" t="str">
        <f>IF(B47&lt;&gt;"",SUMPRODUCT((Resultados!$B$1:$B$549=10)*(Resultados!$E$1:$E$549=B47)*1),"")</f>
        <v/>
      </c>
      <c r="P47" s="7" t="str">
        <f>IF(B47&lt;&gt;"",SUMPRODUCT((Resultados!$B$1:$B$549=11)*(Resultados!$E$1:$E$549=B47)*1),"")</f>
        <v/>
      </c>
      <c r="Q47" s="7" t="str">
        <f>IF(B47&lt;&gt;"",SUMPRODUCT((Resultados!$B$1:$B$549=12)*(Resultados!$E$1:$E$549=B47)*1),"")</f>
        <v/>
      </c>
      <c r="R47" s="7" t="str">
        <f>IF(B47&lt;&gt;"",SUMPRODUCT((Resultados!$B$1:$B$549=13)*(Resultados!$E$1:$ED$549=B47)*1),"")</f>
        <v/>
      </c>
      <c r="S47" s="7" t="str">
        <f>IF(B47&lt;&gt;"",SUMPRODUCT((Resultados!$B$1:$B$549=14)*(Resultados!$E$1:$E$549=B47)*1),"")</f>
        <v/>
      </c>
      <c r="T47" s="7" t="str">
        <f>IF(B47&lt;&gt;"",SUMPRODUCT((Resultados!$B$1:$B$549=15)*(Resultados!$E$1:$E$549=B47)*1),"")</f>
        <v/>
      </c>
      <c r="U47" s="7" t="str">
        <f>IF(B47&lt;&gt;"",SUMPRODUCT((Resultados!$B$1:$B$549=16)*(Resultados!$E$1:$E$549=B47)*1),"")</f>
        <v/>
      </c>
      <c r="V47" s="7" t="str">
        <f>IF(B47&lt;&gt;"",SUMPRODUCT((Resultados!$B$1:$B$549=17)*(Resultados!$E$1:$E$549=B47)*1),"")</f>
        <v/>
      </c>
      <c r="W47" s="7" t="str">
        <f>IF(B47&lt;&gt;"",SUMPRODUCT((Resultados!$B$1:$B$549=18)*(Resultados!$E$1:$E$549=B47)*1),"")</f>
        <v/>
      </c>
      <c r="X47" s="7" t="str">
        <f>IF(B47&lt;&gt;"",SUMPRODUCT((Resultados!$B$1:$B$549=19)*(Resultados!$E$1:$E$549=B47)*1),"")</f>
        <v/>
      </c>
      <c r="Y47" s="7" t="str">
        <f>IF(B47&lt;&gt;"",SUMPRODUCT((Resultados!$B$1:$B$549=20)*(Resultados!$E$1:$E$549=B47)*1),"")</f>
        <v/>
      </c>
      <c r="Z47" s="7" t="str">
        <f>IF(B47&lt;&gt;"",SUMPRODUCT((Resultados!$B$1:$B$549=21)*(Resultados!$E$1:$E$549=B47)*1),"")</f>
        <v/>
      </c>
      <c r="AA47" s="7" t="str">
        <f>IF(B47&lt;&gt;"",SUMPRODUCT((Resultados!$B$1:$B$549=22)*(Resultados!$E$1:$E$549=B47)*1),"")</f>
        <v/>
      </c>
      <c r="AB47" s="7" t="str">
        <f>IF(B47&lt;&gt;"",SUMPRODUCT((Resultados!$B$1:$B$549=23)*(Resultados!$E$1:$E$549=B47)*1),"")</f>
        <v/>
      </c>
      <c r="AC47" s="7" t="str">
        <f>IF(B47&lt;&gt;"",SUMPRODUCT((Resultados!$B$1:$B$549=24)*(Resultados!$E$1:$E$549=B47)*1),"")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A25" sqref="A25"/>
    </sheetView>
  </sheetViews>
  <sheetFormatPr defaultRowHeight="12.75" x14ac:dyDescent="0.2"/>
  <cols>
    <col min="2" max="2" width="17.7109375" style="3" bestFit="1" customWidth="1"/>
    <col min="4" max="4" width="64.28515625" customWidth="1"/>
    <col min="5" max="5" width="26.7109375" bestFit="1" customWidth="1"/>
  </cols>
  <sheetData>
    <row r="1" spans="1:5" x14ac:dyDescent="0.2">
      <c r="A1" s="4" t="s">
        <v>265</v>
      </c>
      <c r="B1" s="5" t="s">
        <v>266</v>
      </c>
      <c r="C1" s="4" t="s">
        <v>16</v>
      </c>
      <c r="D1" s="4" t="s">
        <v>267</v>
      </c>
      <c r="E1" s="4" t="s">
        <v>24</v>
      </c>
    </row>
    <row r="2" spans="1:5" x14ac:dyDescent="0.2">
      <c r="A2">
        <v>1</v>
      </c>
      <c r="B2" s="3">
        <v>45732</v>
      </c>
      <c r="C2" s="4" t="s">
        <v>345</v>
      </c>
      <c r="D2" s="4" t="s">
        <v>346</v>
      </c>
      <c r="E2" s="4" t="s">
        <v>352</v>
      </c>
    </row>
    <row r="3" spans="1:5" x14ac:dyDescent="0.2">
      <c r="A3">
        <f>A2+1</f>
        <v>2</v>
      </c>
      <c r="B3" s="3">
        <v>45739</v>
      </c>
      <c r="C3" s="4" t="s">
        <v>347</v>
      </c>
      <c r="D3" s="4" t="s">
        <v>371</v>
      </c>
      <c r="E3" s="4" t="s">
        <v>353</v>
      </c>
    </row>
    <row r="4" spans="1:5" x14ac:dyDescent="0.2">
      <c r="A4">
        <f t="shared" ref="A4:A25" si="0">A3+1</f>
        <v>3</v>
      </c>
      <c r="B4" s="3">
        <v>45753</v>
      </c>
      <c r="C4" s="4" t="s">
        <v>340</v>
      </c>
      <c r="D4" s="4" t="s">
        <v>372</v>
      </c>
      <c r="E4" s="4" t="s">
        <v>354</v>
      </c>
    </row>
    <row r="5" spans="1:5" x14ac:dyDescent="0.2">
      <c r="A5">
        <f t="shared" si="0"/>
        <v>4</v>
      </c>
      <c r="B5" s="3">
        <v>45760</v>
      </c>
      <c r="C5" s="4" t="s">
        <v>259</v>
      </c>
      <c r="D5" s="4" t="s">
        <v>373</v>
      </c>
      <c r="E5" s="4" t="s">
        <v>261</v>
      </c>
    </row>
    <row r="6" spans="1:5" x14ac:dyDescent="0.2">
      <c r="A6">
        <f t="shared" si="0"/>
        <v>5</v>
      </c>
      <c r="B6" s="3">
        <v>45767</v>
      </c>
      <c r="C6" s="4" t="s">
        <v>348</v>
      </c>
      <c r="D6" s="4" t="s">
        <v>374</v>
      </c>
      <c r="E6" s="4" t="s">
        <v>355</v>
      </c>
    </row>
    <row r="7" spans="1:5" x14ac:dyDescent="0.2">
      <c r="A7">
        <f t="shared" si="0"/>
        <v>6</v>
      </c>
      <c r="B7" s="3">
        <v>45781</v>
      </c>
      <c r="C7" s="4" t="s">
        <v>307</v>
      </c>
      <c r="D7" s="4" t="s">
        <v>375</v>
      </c>
      <c r="E7" s="4" t="s">
        <v>356</v>
      </c>
    </row>
    <row r="8" spans="1:5" x14ac:dyDescent="0.2">
      <c r="A8">
        <f t="shared" si="0"/>
        <v>7</v>
      </c>
      <c r="B8" s="3">
        <v>45795</v>
      </c>
      <c r="C8" s="4" t="s">
        <v>188</v>
      </c>
      <c r="D8" s="4" t="s">
        <v>376</v>
      </c>
      <c r="E8" s="4" t="s">
        <v>357</v>
      </c>
    </row>
    <row r="9" spans="1:5" x14ac:dyDescent="0.2">
      <c r="A9">
        <f t="shared" si="0"/>
        <v>8</v>
      </c>
      <c r="B9" s="3">
        <v>45802</v>
      </c>
      <c r="C9" s="4" t="s">
        <v>314</v>
      </c>
      <c r="D9" s="4" t="s">
        <v>377</v>
      </c>
      <c r="E9" s="4" t="s">
        <v>358</v>
      </c>
    </row>
    <row r="10" spans="1:5" x14ac:dyDescent="0.2">
      <c r="A10">
        <f t="shared" si="0"/>
        <v>9</v>
      </c>
      <c r="B10" s="3">
        <v>45809</v>
      </c>
      <c r="C10" s="4" t="s">
        <v>22</v>
      </c>
      <c r="D10" s="4" t="s">
        <v>378</v>
      </c>
      <c r="E10" s="4" t="s">
        <v>262</v>
      </c>
    </row>
    <row r="11" spans="1:5" x14ac:dyDescent="0.2">
      <c r="A11">
        <f t="shared" si="0"/>
        <v>10</v>
      </c>
      <c r="B11" s="3">
        <v>45823</v>
      </c>
      <c r="C11" s="4" t="s">
        <v>190</v>
      </c>
      <c r="D11" s="4" t="s">
        <v>379</v>
      </c>
      <c r="E11" s="4" t="s">
        <v>359</v>
      </c>
    </row>
    <row r="12" spans="1:5" x14ac:dyDescent="0.2">
      <c r="A12">
        <f t="shared" si="0"/>
        <v>11</v>
      </c>
      <c r="B12" s="3">
        <v>45837</v>
      </c>
      <c r="C12" s="4" t="s">
        <v>300</v>
      </c>
      <c r="D12" s="4" t="s">
        <v>380</v>
      </c>
      <c r="E12" s="4" t="s">
        <v>302</v>
      </c>
    </row>
    <row r="13" spans="1:5" x14ac:dyDescent="0.2">
      <c r="A13">
        <f t="shared" si="0"/>
        <v>12</v>
      </c>
      <c r="B13" s="3">
        <v>45844</v>
      </c>
      <c r="C13" s="4" t="s">
        <v>20</v>
      </c>
      <c r="D13" s="4" t="s">
        <v>381</v>
      </c>
      <c r="E13" s="4" t="s">
        <v>360</v>
      </c>
    </row>
    <row r="14" spans="1:5" x14ac:dyDescent="0.2">
      <c r="A14">
        <f t="shared" si="0"/>
        <v>13</v>
      </c>
      <c r="B14" s="3">
        <v>45865</v>
      </c>
      <c r="C14" s="4" t="s">
        <v>26</v>
      </c>
      <c r="D14" s="4" t="s">
        <v>382</v>
      </c>
      <c r="E14" s="4" t="s">
        <v>361</v>
      </c>
    </row>
    <row r="15" spans="1:5" x14ac:dyDescent="0.2">
      <c r="A15">
        <f t="shared" si="0"/>
        <v>14</v>
      </c>
      <c r="B15" s="3">
        <v>45872</v>
      </c>
      <c r="C15" s="4" t="s">
        <v>25</v>
      </c>
      <c r="D15" s="4" t="s">
        <v>383</v>
      </c>
      <c r="E15" s="4" t="s">
        <v>263</v>
      </c>
    </row>
    <row r="16" spans="1:5" x14ac:dyDescent="0.2">
      <c r="A16">
        <f t="shared" si="0"/>
        <v>15</v>
      </c>
      <c r="B16" s="3">
        <v>45900</v>
      </c>
      <c r="C16" s="4" t="s">
        <v>306</v>
      </c>
      <c r="D16" s="4" t="s">
        <v>384</v>
      </c>
      <c r="E16" s="4" t="s">
        <v>362</v>
      </c>
    </row>
    <row r="17" spans="1:5" x14ac:dyDescent="0.2">
      <c r="A17">
        <f t="shared" si="0"/>
        <v>16</v>
      </c>
      <c r="B17" s="3">
        <v>45907</v>
      </c>
      <c r="C17" s="4" t="s">
        <v>188</v>
      </c>
      <c r="D17" s="4" t="s">
        <v>385</v>
      </c>
      <c r="E17" s="4" t="s">
        <v>363</v>
      </c>
    </row>
    <row r="18" spans="1:5" x14ac:dyDescent="0.2">
      <c r="A18">
        <f t="shared" si="0"/>
        <v>17</v>
      </c>
      <c r="B18" s="3">
        <v>45921</v>
      </c>
      <c r="C18" s="4" t="s">
        <v>349</v>
      </c>
      <c r="D18" s="4" t="s">
        <v>386</v>
      </c>
      <c r="E18" s="4" t="s">
        <v>364</v>
      </c>
    </row>
    <row r="19" spans="1:5" x14ac:dyDescent="0.2">
      <c r="A19">
        <f t="shared" si="0"/>
        <v>18</v>
      </c>
      <c r="B19" s="3">
        <v>45935</v>
      </c>
      <c r="C19" s="4" t="s">
        <v>350</v>
      </c>
      <c r="D19" s="4" t="s">
        <v>387</v>
      </c>
      <c r="E19" s="4" t="s">
        <v>365</v>
      </c>
    </row>
    <row r="20" spans="1:5" x14ac:dyDescent="0.2">
      <c r="A20">
        <f t="shared" si="0"/>
        <v>19</v>
      </c>
      <c r="B20" s="3">
        <v>45949</v>
      </c>
      <c r="C20" s="4" t="s">
        <v>307</v>
      </c>
      <c r="D20" s="4" t="s">
        <v>388</v>
      </c>
      <c r="E20" s="4" t="s">
        <v>366</v>
      </c>
    </row>
    <row r="21" spans="1:5" x14ac:dyDescent="0.2">
      <c r="A21">
        <f t="shared" si="0"/>
        <v>20</v>
      </c>
      <c r="B21" s="3">
        <v>45956</v>
      </c>
      <c r="C21" s="4" t="s">
        <v>301</v>
      </c>
      <c r="D21" s="4" t="s">
        <v>389</v>
      </c>
      <c r="E21" s="4" t="s">
        <v>367</v>
      </c>
    </row>
    <row r="22" spans="1:5" x14ac:dyDescent="0.2">
      <c r="A22">
        <f t="shared" si="0"/>
        <v>21</v>
      </c>
      <c r="B22" s="3">
        <v>45970</v>
      </c>
      <c r="C22" s="4" t="s">
        <v>322</v>
      </c>
      <c r="D22" s="4" t="s">
        <v>390</v>
      </c>
      <c r="E22" s="4" t="s">
        <v>368</v>
      </c>
    </row>
    <row r="23" spans="1:5" x14ac:dyDescent="0.2">
      <c r="A23">
        <f t="shared" si="0"/>
        <v>22</v>
      </c>
      <c r="B23" s="3">
        <v>45983</v>
      </c>
      <c r="C23" s="4" t="s">
        <v>307</v>
      </c>
      <c r="D23" s="4" t="s">
        <v>391</v>
      </c>
      <c r="E23" s="4" t="s">
        <v>369</v>
      </c>
    </row>
    <row r="24" spans="1:5" x14ac:dyDescent="0.2">
      <c r="A24">
        <f t="shared" si="0"/>
        <v>23</v>
      </c>
      <c r="B24" s="3">
        <v>45991</v>
      </c>
      <c r="C24" s="4" t="s">
        <v>351</v>
      </c>
      <c r="D24" s="4" t="s">
        <v>392</v>
      </c>
      <c r="E24" s="4" t="s">
        <v>370</v>
      </c>
    </row>
    <row r="25" spans="1:5" x14ac:dyDescent="0.2">
      <c r="A25">
        <f t="shared" si="0"/>
        <v>24</v>
      </c>
      <c r="B25" s="3">
        <v>45998</v>
      </c>
      <c r="C25" s="4" t="s">
        <v>247</v>
      </c>
      <c r="D25" s="4" t="s">
        <v>393</v>
      </c>
      <c r="E25" t="s">
        <v>264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249</v>
      </c>
      <c r="B1" t="s">
        <v>15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416</v>
      </c>
      <c r="M1" t="s">
        <v>429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T1" t="s">
        <v>423</v>
      </c>
      <c r="U1" t="s">
        <v>307</v>
      </c>
      <c r="V1" t="s">
        <v>424</v>
      </c>
      <c r="W1" t="s">
        <v>425</v>
      </c>
      <c r="X1" t="s">
        <v>426</v>
      </c>
      <c r="Y1" t="s">
        <v>427</v>
      </c>
      <c r="Z1" t="s">
        <v>428</v>
      </c>
    </row>
    <row r="2" spans="1:26" x14ac:dyDescent="0.2">
      <c r="A2">
        <f>'Temporada 2025'!B8</f>
        <v>1</v>
      </c>
      <c r="B2" t="str">
        <f>'Temporada 2025'!C8</f>
        <v>Lando Norris</v>
      </c>
      <c r="C2">
        <f>'Temporada 2025'!J8</f>
        <v>25</v>
      </c>
      <c r="D2">
        <f>C2+'Temporada 2025'!K8</f>
        <v>44</v>
      </c>
      <c r="E2">
        <f>D2+'Temporada 2025'!L8</f>
        <v>62</v>
      </c>
      <c r="F2">
        <f>E2+'Temporada 2025'!M8</f>
        <v>77</v>
      </c>
      <c r="G2">
        <f>F2+'Temporada 2025'!N8</f>
        <v>89</v>
      </c>
      <c r="H2">
        <f>G2+'Temporada 2025'!O8</f>
        <v>115</v>
      </c>
      <c r="I2">
        <f>H2+'Temporada 2025'!P8</f>
        <v>133</v>
      </c>
      <c r="J2">
        <f>I2+'Temporada 2025'!Q8</f>
        <v>158</v>
      </c>
      <c r="K2">
        <f>J2+'Temporada 2025'!R8</f>
        <v>176</v>
      </c>
      <c r="L2">
        <f>K2+'Temporada 2025'!S8</f>
        <v>176</v>
      </c>
      <c r="M2">
        <f>L2+'Temporada 2025'!T8</f>
        <v>201</v>
      </c>
      <c r="N2">
        <f>M2+'Temporada 2025'!U8</f>
        <v>226</v>
      </c>
      <c r="O2">
        <f>N2+'Temporada 2025'!V8</f>
        <v>250</v>
      </c>
      <c r="P2">
        <f>O2+'Temporada 2025'!W8</f>
        <v>275</v>
      </c>
      <c r="Q2">
        <f>P2+'Temporada 2025'!X8</f>
        <v>275</v>
      </c>
      <c r="R2">
        <f>Q2+'Temporada 2025'!Y8</f>
        <v>293</v>
      </c>
      <c r="S2">
        <f>R2+'Temporada 2025'!Z8</f>
        <v>299</v>
      </c>
      <c r="T2">
        <f>S2+'Temporada 2025'!AA8</f>
        <v>314</v>
      </c>
      <c r="U2">
        <f>T2+'Temporada 2025'!AB8</f>
        <v>332</v>
      </c>
      <c r="V2">
        <f>U2+'Temporada 2025'!AC8</f>
        <v>357</v>
      </c>
      <c r="W2">
        <f>V2+'Temporada 2025'!AD8</f>
        <v>390</v>
      </c>
      <c r="X2">
        <f>W2+'Temporada 2025'!AE8</f>
        <v>390</v>
      </c>
      <c r="Y2">
        <f>X2+'Temporada 2025'!AF8</f>
        <v>408</v>
      </c>
      <c r="Z2">
        <f>Y2+'Temporada 2025'!AG8</f>
        <v>408</v>
      </c>
    </row>
    <row r="3" spans="1:26" x14ac:dyDescent="0.2">
      <c r="A3">
        <f>'Temporada 2025'!B9</f>
        <v>2</v>
      </c>
      <c r="B3" t="str">
        <f>'Temporada 2025'!C9</f>
        <v>Max Verstappen</v>
      </c>
      <c r="C3">
        <f>'Temporada 2025'!J9</f>
        <v>18</v>
      </c>
      <c r="D3">
        <f>C3+'Temporada 2025'!K9</f>
        <v>36</v>
      </c>
      <c r="E3">
        <f>D3+'Temporada 2025'!L9</f>
        <v>61</v>
      </c>
      <c r="F3">
        <f>E3+'Temporada 2025'!M9</f>
        <v>69</v>
      </c>
      <c r="G3">
        <f>F3+'Temporada 2025'!N9</f>
        <v>87</v>
      </c>
      <c r="H3">
        <f>G3+'Temporada 2025'!O9</f>
        <v>99</v>
      </c>
      <c r="I3">
        <f>H3+'Temporada 2025'!P9</f>
        <v>124</v>
      </c>
      <c r="J3">
        <f>I3+'Temporada 2025'!Q9</f>
        <v>136</v>
      </c>
      <c r="K3">
        <f>J3+'Temporada 2025'!R9</f>
        <v>137</v>
      </c>
      <c r="L3">
        <f>K3+'Temporada 2025'!S9</f>
        <v>155</v>
      </c>
      <c r="M3">
        <f>L3+'Temporada 2025'!T9</f>
        <v>155</v>
      </c>
      <c r="N3">
        <f>M3+'Temporada 2025'!U9</f>
        <v>165</v>
      </c>
      <c r="O3">
        <f>N3+'Temporada 2025'!V9</f>
        <v>185</v>
      </c>
      <c r="P3">
        <f>O3+'Temporada 2025'!W9</f>
        <v>187</v>
      </c>
      <c r="Q3">
        <f>P3+'Temporada 2025'!X9</f>
        <v>205</v>
      </c>
      <c r="R3">
        <f>Q3+'Temporada 2025'!Y9</f>
        <v>230</v>
      </c>
      <c r="S3">
        <f>R3+'Temporada 2025'!Z9</f>
        <v>255</v>
      </c>
      <c r="T3">
        <f>S3+'Temporada 2025'!AA9</f>
        <v>273</v>
      </c>
      <c r="U3">
        <f>T3+'Temporada 2025'!AB9</f>
        <v>306</v>
      </c>
      <c r="V3">
        <f>U3+'Temporada 2025'!AC9</f>
        <v>321</v>
      </c>
      <c r="W3">
        <f>V3+'Temporada 2025'!AD9</f>
        <v>341</v>
      </c>
      <c r="X3">
        <f>W3+'Temporada 2025'!AE9</f>
        <v>366</v>
      </c>
      <c r="Y3">
        <f>X3+'Temporada 2025'!AF9</f>
        <v>396</v>
      </c>
      <c r="Z3">
        <f>Y3+'Temporada 2025'!AG9</f>
        <v>396</v>
      </c>
    </row>
    <row r="4" spans="1:26" x14ac:dyDescent="0.2">
      <c r="A4">
        <f>'Temporada 2025'!B10</f>
        <v>3</v>
      </c>
      <c r="B4" t="str">
        <f>'Temporada 2025'!C10</f>
        <v>Oscar Piastri</v>
      </c>
      <c r="C4">
        <f>'Temporada 2025'!J10</f>
        <v>2</v>
      </c>
      <c r="D4">
        <f>C4+'Temporada 2025'!K10</f>
        <v>34</v>
      </c>
      <c r="E4">
        <f>D4+'Temporada 2025'!L10</f>
        <v>49</v>
      </c>
      <c r="F4">
        <f>E4+'Temporada 2025'!M10</f>
        <v>74</v>
      </c>
      <c r="G4">
        <f>F4+'Temporada 2025'!N10</f>
        <v>99</v>
      </c>
      <c r="H4">
        <f>G4+'Temporada 2025'!O10</f>
        <v>131</v>
      </c>
      <c r="I4">
        <f>H4+'Temporada 2025'!P10</f>
        <v>146</v>
      </c>
      <c r="J4">
        <f>I4+'Temporada 2025'!Q10</f>
        <v>161</v>
      </c>
      <c r="K4">
        <f>J4+'Temporada 2025'!R10</f>
        <v>186</v>
      </c>
      <c r="L4">
        <f>K4+'Temporada 2025'!S10</f>
        <v>198</v>
      </c>
      <c r="M4">
        <f>L4+'Temporada 2025'!T10</f>
        <v>216</v>
      </c>
      <c r="N4">
        <f>M4+'Temporada 2025'!U10</f>
        <v>234</v>
      </c>
      <c r="O4">
        <f>N4+'Temporada 2025'!V10</f>
        <v>266</v>
      </c>
      <c r="P4">
        <f>O4+'Temporada 2025'!W10</f>
        <v>284</v>
      </c>
      <c r="Q4">
        <f>P4+'Temporada 2025'!X10</f>
        <v>309</v>
      </c>
      <c r="R4">
        <f>Q4+'Temporada 2025'!Y10</f>
        <v>324</v>
      </c>
      <c r="S4">
        <f>R4+'Temporada 2025'!Z10</f>
        <v>324</v>
      </c>
      <c r="T4">
        <f>S4+'Temporada 2025'!AA10</f>
        <v>336</v>
      </c>
      <c r="U4">
        <f>T4+'Temporada 2025'!AB10</f>
        <v>346</v>
      </c>
      <c r="V4">
        <f>U4+'Temporada 2025'!AC10</f>
        <v>356</v>
      </c>
      <c r="W4">
        <f>V4+'Temporada 2025'!AD10</f>
        <v>366</v>
      </c>
      <c r="X4">
        <f>W4+'Temporada 2025'!AE10</f>
        <v>366</v>
      </c>
      <c r="Y4">
        <f>X4+'Temporada 2025'!AF10</f>
        <v>392</v>
      </c>
      <c r="Z4">
        <f>Y4+'Temporada 2025'!AG10</f>
        <v>392</v>
      </c>
    </row>
    <row r="5" spans="1:26" x14ac:dyDescent="0.2">
      <c r="A5">
        <f>'Temporada 2025'!B11</f>
        <v>4</v>
      </c>
      <c r="B5" t="str">
        <f>'Temporada 2025'!C11</f>
        <v>George Russell</v>
      </c>
      <c r="C5">
        <f>'Temporada 2025'!J11</f>
        <v>15</v>
      </c>
      <c r="D5">
        <f>C5+'Temporada 2025'!K11</f>
        <v>35</v>
      </c>
      <c r="E5">
        <f>D5+'Temporada 2025'!L11</f>
        <v>45</v>
      </c>
      <c r="F5">
        <f>E5+'Temporada 2025'!M11</f>
        <v>63</v>
      </c>
      <c r="G5">
        <f>F5+'Temporada 2025'!N11</f>
        <v>73</v>
      </c>
      <c r="H5">
        <f>G5+'Temporada 2025'!O11</f>
        <v>93</v>
      </c>
      <c r="I5">
        <f>H5+'Temporada 2025'!P11</f>
        <v>99</v>
      </c>
      <c r="J5">
        <f>I5+'Temporada 2025'!Q11</f>
        <v>99</v>
      </c>
      <c r="K5">
        <f>J5+'Temporada 2025'!R11</f>
        <v>111</v>
      </c>
      <c r="L5">
        <f>K5+'Temporada 2025'!S11</f>
        <v>136</v>
      </c>
      <c r="M5">
        <f>L5+'Temporada 2025'!T11</f>
        <v>146</v>
      </c>
      <c r="N5">
        <f>M5+'Temporada 2025'!U11</f>
        <v>147</v>
      </c>
      <c r="O5">
        <f>N5+'Temporada 2025'!V11</f>
        <v>157</v>
      </c>
      <c r="P5">
        <f>O5+'Temporada 2025'!W11</f>
        <v>172</v>
      </c>
      <c r="Q5">
        <f>P5+'Temporada 2025'!X11</f>
        <v>184</v>
      </c>
      <c r="R5">
        <f>Q5+'Temporada 2025'!Y11</f>
        <v>194</v>
      </c>
      <c r="S5">
        <f>R5+'Temporada 2025'!Z11</f>
        <v>212</v>
      </c>
      <c r="T5">
        <f>S5+'Temporada 2025'!AA11</f>
        <v>237</v>
      </c>
      <c r="U5">
        <f>T5+'Temporada 2025'!AB11</f>
        <v>252</v>
      </c>
      <c r="V5">
        <f>U5+'Temporada 2025'!AC11</f>
        <v>258</v>
      </c>
      <c r="W5">
        <f>V5+'Temporada 2025'!AD11</f>
        <v>276</v>
      </c>
      <c r="X5">
        <f>W5+'Temporada 2025'!AE11</f>
        <v>294</v>
      </c>
      <c r="Y5">
        <f>X5+'Temporada 2025'!AF11</f>
        <v>309</v>
      </c>
      <c r="Z5">
        <f>Y5+'Temporada 2025'!AG11</f>
        <v>309</v>
      </c>
    </row>
    <row r="6" spans="1:26" x14ac:dyDescent="0.2">
      <c r="A6">
        <f>'Temporada 2025'!B12</f>
        <v>5</v>
      </c>
      <c r="B6" t="str">
        <f>'Temporada 2025'!C12</f>
        <v>Charles Leclerc</v>
      </c>
      <c r="C6">
        <f>'Temporada 2025'!J12</f>
        <v>4</v>
      </c>
      <c r="D6">
        <f>C6+'Temporada 2025'!K12</f>
        <v>8</v>
      </c>
      <c r="E6">
        <f>D6+'Temporada 2025'!L12</f>
        <v>20</v>
      </c>
      <c r="F6">
        <f>E6+'Temporada 2025'!M12</f>
        <v>32</v>
      </c>
      <c r="G6">
        <f>F6+'Temporada 2025'!N12</f>
        <v>47</v>
      </c>
      <c r="H6">
        <f>G6+'Temporada 2025'!O12</f>
        <v>53</v>
      </c>
      <c r="I6">
        <f>H6+'Temporada 2025'!P12</f>
        <v>61</v>
      </c>
      <c r="J6">
        <f>I6+'Temporada 2025'!Q12</f>
        <v>79</v>
      </c>
      <c r="K6">
        <f>J6+'Temporada 2025'!R12</f>
        <v>94</v>
      </c>
      <c r="L6">
        <f>K6+'Temporada 2025'!S12</f>
        <v>104</v>
      </c>
      <c r="M6">
        <f>L6+'Temporada 2025'!T12</f>
        <v>119</v>
      </c>
      <c r="N6">
        <f>M6+'Temporada 2025'!U12</f>
        <v>119</v>
      </c>
      <c r="O6">
        <f>N6+'Temporada 2025'!V12</f>
        <v>139</v>
      </c>
      <c r="P6">
        <f>O6+'Temporada 2025'!W12</f>
        <v>151</v>
      </c>
      <c r="Q6">
        <f>P6+'Temporada 2025'!X12</f>
        <v>151</v>
      </c>
      <c r="R6">
        <f>Q6+'Temporada 2025'!Y12</f>
        <v>163</v>
      </c>
      <c r="S6">
        <f>R6+'Temporada 2025'!Z12</f>
        <v>165</v>
      </c>
      <c r="T6">
        <f>S6+'Temporada 2025'!AA12</f>
        <v>173</v>
      </c>
      <c r="U6">
        <f>T6+'Temporada 2025'!AB12</f>
        <v>192</v>
      </c>
      <c r="V6">
        <f>U6+'Temporada 2025'!AC12</f>
        <v>210</v>
      </c>
      <c r="W6">
        <f>V6+'Temporada 2025'!AD12</f>
        <v>214</v>
      </c>
      <c r="X6">
        <f>W6+'Temporada 2025'!AE12</f>
        <v>226</v>
      </c>
      <c r="Y6">
        <f>X6+'Temporada 2025'!AF12</f>
        <v>230</v>
      </c>
      <c r="Z6">
        <f>Y6+'Temporada 2025'!AG12</f>
        <v>230</v>
      </c>
    </row>
    <row r="7" spans="1:26" x14ac:dyDescent="0.2">
      <c r="A7">
        <f>'Temporada 2025'!B13</f>
        <v>6</v>
      </c>
      <c r="B7" t="str">
        <f>'Temporada 2025'!C13</f>
        <v>Lewis Hamilton</v>
      </c>
      <c r="C7">
        <f>'Temporada 2025'!J13</f>
        <v>1</v>
      </c>
      <c r="D7">
        <f>C7+'Temporada 2025'!K13</f>
        <v>9</v>
      </c>
      <c r="E7">
        <f>D7+'Temporada 2025'!L13</f>
        <v>15</v>
      </c>
      <c r="F7">
        <f>E7+'Temporada 2025'!M13</f>
        <v>25</v>
      </c>
      <c r="G7">
        <f>F7+'Temporada 2025'!N13</f>
        <v>31</v>
      </c>
      <c r="H7">
        <f>G7+'Temporada 2025'!O13</f>
        <v>41</v>
      </c>
      <c r="I7">
        <f>H7+'Temporada 2025'!P13</f>
        <v>53</v>
      </c>
      <c r="J7">
        <f>I7+'Temporada 2025'!Q13</f>
        <v>63</v>
      </c>
      <c r="K7">
        <f>J7+'Temporada 2025'!R13</f>
        <v>71</v>
      </c>
      <c r="L7">
        <f>K7+'Temporada 2025'!S13</f>
        <v>79</v>
      </c>
      <c r="M7">
        <f>L7+'Temporada 2025'!T13</f>
        <v>91</v>
      </c>
      <c r="N7">
        <f>M7+'Temporada 2025'!U13</f>
        <v>103</v>
      </c>
      <c r="O7">
        <f>N7+'Temporada 2025'!V13</f>
        <v>109</v>
      </c>
      <c r="P7">
        <f>O7+'Temporada 2025'!W13</f>
        <v>109</v>
      </c>
      <c r="Q7">
        <f>P7+'Temporada 2025'!X13</f>
        <v>109</v>
      </c>
      <c r="R7">
        <f>Q7+'Temporada 2025'!Y13</f>
        <v>117</v>
      </c>
      <c r="S7">
        <f>R7+'Temporada 2025'!Z13</f>
        <v>121</v>
      </c>
      <c r="T7">
        <f>S7+'Temporada 2025'!AA13</f>
        <v>125</v>
      </c>
      <c r="U7">
        <f>T7+'Temporada 2025'!AB13</f>
        <v>142</v>
      </c>
      <c r="V7">
        <f>U7+'Temporada 2025'!AC13</f>
        <v>146</v>
      </c>
      <c r="W7">
        <f>V7+'Temporada 2025'!AD13</f>
        <v>148</v>
      </c>
      <c r="X7">
        <f>W7+'Temporada 2025'!AE13</f>
        <v>152</v>
      </c>
      <c r="Y7">
        <f>X7+'Temporada 2025'!AF13</f>
        <v>152</v>
      </c>
      <c r="Z7">
        <f>Y7+'Temporada 2025'!AG13</f>
        <v>152</v>
      </c>
    </row>
    <row r="8" spans="1:26" x14ac:dyDescent="0.2">
      <c r="A8">
        <f>'Temporada 2025'!B14</f>
        <v>7</v>
      </c>
      <c r="B8" t="str">
        <f>'Temporada 2025'!C14</f>
        <v>Kimi Antonelli</v>
      </c>
      <c r="C8">
        <f>'Temporada 2025'!J14</f>
        <v>12</v>
      </c>
      <c r="D8">
        <f>C8+'Temporada 2025'!K14</f>
        <v>22</v>
      </c>
      <c r="E8">
        <f>D8+'Temporada 2025'!L14</f>
        <v>30</v>
      </c>
      <c r="F8">
        <f>E8+'Temporada 2025'!M14</f>
        <v>30</v>
      </c>
      <c r="G8">
        <f>F8+'Temporada 2025'!N14</f>
        <v>38</v>
      </c>
      <c r="H8">
        <f>G8+'Temporada 2025'!O14</f>
        <v>48</v>
      </c>
      <c r="I8">
        <f>H8+'Temporada 2025'!P14</f>
        <v>48</v>
      </c>
      <c r="J8">
        <f>I8+'Temporada 2025'!Q14</f>
        <v>48</v>
      </c>
      <c r="K8">
        <f>J8+'Temporada 2025'!R14</f>
        <v>48</v>
      </c>
      <c r="L8">
        <f>K8+'Temporada 2025'!S14</f>
        <v>63</v>
      </c>
      <c r="M8">
        <f>L8+'Temporada 2025'!T14</f>
        <v>63</v>
      </c>
      <c r="N8">
        <f>M8+'Temporada 2025'!U14</f>
        <v>63</v>
      </c>
      <c r="O8">
        <f>N8+'Temporada 2025'!V14</f>
        <v>63</v>
      </c>
      <c r="P8">
        <f>O8+'Temporada 2025'!W14</f>
        <v>64</v>
      </c>
      <c r="Q8">
        <f>P8+'Temporada 2025'!X14</f>
        <v>64</v>
      </c>
      <c r="R8">
        <f>Q8+'Temporada 2025'!Y14</f>
        <v>66</v>
      </c>
      <c r="S8">
        <f>R8+'Temporada 2025'!Z14</f>
        <v>78</v>
      </c>
      <c r="T8">
        <f>S8+'Temporada 2025'!AA14</f>
        <v>88</v>
      </c>
      <c r="U8">
        <f>T8+'Temporada 2025'!AB14</f>
        <v>89</v>
      </c>
      <c r="V8">
        <f>U8+'Temporada 2025'!AC14</f>
        <v>97</v>
      </c>
      <c r="W8">
        <f>V8+'Temporada 2025'!AD14</f>
        <v>122</v>
      </c>
      <c r="X8">
        <f>W8+'Temporada 2025'!AE14</f>
        <v>137</v>
      </c>
      <c r="Y8">
        <f>X8+'Temporada 2025'!AF14</f>
        <v>150</v>
      </c>
      <c r="Z8">
        <f>Y8+'Temporada 2025'!AG14</f>
        <v>150</v>
      </c>
    </row>
    <row r="9" spans="1:26" x14ac:dyDescent="0.2">
      <c r="A9">
        <f>'Temporada 2025'!B15</f>
        <v>8</v>
      </c>
      <c r="B9" t="str">
        <f>'Temporada 2025'!C15</f>
        <v>Alexander Albon</v>
      </c>
      <c r="C9">
        <f>'Temporada 2025'!J15</f>
        <v>10</v>
      </c>
      <c r="D9">
        <f>C9+'Temporada 2025'!K15</f>
        <v>16</v>
      </c>
      <c r="E9">
        <f>D9+'Temporada 2025'!L15</f>
        <v>18</v>
      </c>
      <c r="F9">
        <f>E9+'Temporada 2025'!M15</f>
        <v>18</v>
      </c>
      <c r="G9">
        <f>F9+'Temporada 2025'!N15</f>
        <v>20</v>
      </c>
      <c r="H9">
        <f>G9+'Temporada 2025'!O15</f>
        <v>30</v>
      </c>
      <c r="I9">
        <f>H9+'Temporada 2025'!P15</f>
        <v>40</v>
      </c>
      <c r="J9">
        <f>I9+'Temporada 2025'!Q15</f>
        <v>42</v>
      </c>
      <c r="K9">
        <f>J9+'Temporada 2025'!R15</f>
        <v>42</v>
      </c>
      <c r="L9">
        <f>K9+'Temporada 2025'!S15</f>
        <v>42</v>
      </c>
      <c r="M9">
        <f>L9+'Temporada 2025'!T15</f>
        <v>42</v>
      </c>
      <c r="N9">
        <f>M9+'Temporada 2025'!U15</f>
        <v>46</v>
      </c>
      <c r="O9">
        <f>N9+'Temporada 2025'!V15</f>
        <v>54</v>
      </c>
      <c r="P9">
        <f>O9+'Temporada 2025'!W15</f>
        <v>54</v>
      </c>
      <c r="Q9">
        <f>P9+'Temporada 2025'!X15</f>
        <v>64</v>
      </c>
      <c r="R9">
        <f>Q9+'Temporada 2025'!Y15</f>
        <v>70</v>
      </c>
      <c r="S9">
        <f>R9+'Temporada 2025'!Z15</f>
        <v>70</v>
      </c>
      <c r="T9">
        <f>S9+'Temporada 2025'!AA15</f>
        <v>70</v>
      </c>
      <c r="U9">
        <f>T9+'Temporada 2025'!AB15</f>
        <v>73</v>
      </c>
      <c r="V9">
        <f>U9+'Temporada 2025'!AC15</f>
        <v>73</v>
      </c>
      <c r="W9">
        <f>V9+'Temporada 2025'!AD15</f>
        <v>73</v>
      </c>
      <c r="X9">
        <f>W9+'Temporada 2025'!AE15</f>
        <v>73</v>
      </c>
      <c r="Y9">
        <f>X9+'Temporada 2025'!AF15</f>
        <v>73</v>
      </c>
      <c r="Z9">
        <f>Y9+'Temporada 2025'!AG15</f>
        <v>73</v>
      </c>
    </row>
    <row r="10" spans="1:26" x14ac:dyDescent="0.2">
      <c r="A10">
        <f>'Temporada 2025'!B16</f>
        <v>9</v>
      </c>
      <c r="B10" t="str">
        <f>'Temporada 2025'!C16</f>
        <v>Carlos Sainz</v>
      </c>
      <c r="C10">
        <f>'Temporada 2025'!J16</f>
        <v>0</v>
      </c>
      <c r="D10">
        <f>C10+'Temporada 2025'!K16</f>
        <v>1</v>
      </c>
      <c r="E10">
        <f>D10+'Temporada 2025'!L16</f>
        <v>1</v>
      </c>
      <c r="F10">
        <f>E10+'Temporada 2025'!M16</f>
        <v>1</v>
      </c>
      <c r="G10">
        <f>F10+'Temporada 2025'!N16</f>
        <v>5</v>
      </c>
      <c r="H10">
        <f>G10+'Temporada 2025'!O16</f>
        <v>7</v>
      </c>
      <c r="I10">
        <f>H10+'Temporada 2025'!P16</f>
        <v>11</v>
      </c>
      <c r="J10">
        <f>I10+'Temporada 2025'!Q16</f>
        <v>12</v>
      </c>
      <c r="K10">
        <f>J10+'Temporada 2025'!R16</f>
        <v>12</v>
      </c>
      <c r="L10">
        <f>K10+'Temporada 2025'!S16</f>
        <v>13</v>
      </c>
      <c r="M10">
        <f>L10+'Temporada 2025'!T16</f>
        <v>13</v>
      </c>
      <c r="N10">
        <f>M10+'Temporada 2025'!U16</f>
        <v>13</v>
      </c>
      <c r="O10">
        <f>N10+'Temporada 2025'!V16</f>
        <v>16</v>
      </c>
      <c r="P10">
        <f>O10+'Temporada 2025'!W16</f>
        <v>16</v>
      </c>
      <c r="Q10">
        <f>P10+'Temporada 2025'!X16</f>
        <v>16</v>
      </c>
      <c r="R10">
        <f>Q10+'Temporada 2025'!Y16</f>
        <v>16</v>
      </c>
      <c r="S10">
        <f>R10+'Temporada 2025'!Z16</f>
        <v>31</v>
      </c>
      <c r="T10">
        <f>S10+'Temporada 2025'!AA16</f>
        <v>32</v>
      </c>
      <c r="U10">
        <f>T10+'Temporada 2025'!AB16</f>
        <v>38</v>
      </c>
      <c r="V10">
        <f>U10+'Temporada 2025'!AC16</f>
        <v>38</v>
      </c>
      <c r="W10">
        <f>V10+'Temporada 2025'!AD16</f>
        <v>38</v>
      </c>
      <c r="X10">
        <f>W10+'Temporada 2025'!AE16</f>
        <v>48</v>
      </c>
      <c r="Y10">
        <f>X10+'Temporada 2025'!AF16</f>
        <v>64</v>
      </c>
      <c r="Z10">
        <f>Y10+'Temporada 2025'!AG16</f>
        <v>64</v>
      </c>
    </row>
    <row r="11" spans="1:26" x14ac:dyDescent="0.2">
      <c r="A11">
        <f>'Temporada 2025'!B17</f>
        <v>10</v>
      </c>
      <c r="B11" t="str">
        <f>'Temporada 2025'!C17</f>
        <v>Isack Hadjar</v>
      </c>
      <c r="C11">
        <f>'Temporada 2025'!J17</f>
        <v>0</v>
      </c>
      <c r="D11">
        <f>C11+'Temporada 2025'!K17</f>
        <v>0</v>
      </c>
      <c r="E11">
        <f>D11+'Temporada 2025'!L17</f>
        <v>4</v>
      </c>
      <c r="F11">
        <f>E11+'Temporada 2025'!M17</f>
        <v>4</v>
      </c>
      <c r="G11">
        <f>F11+'Temporada 2025'!N17</f>
        <v>5</v>
      </c>
      <c r="H11">
        <f>G11+'Temporada 2025'!O17</f>
        <v>5</v>
      </c>
      <c r="I11">
        <f>H11+'Temporada 2025'!P17</f>
        <v>7</v>
      </c>
      <c r="J11">
        <f>I11+'Temporada 2025'!Q17</f>
        <v>15</v>
      </c>
      <c r="K11">
        <f>J11+'Temporada 2025'!R17</f>
        <v>21</v>
      </c>
      <c r="L11">
        <f>K11+'Temporada 2025'!S17</f>
        <v>21</v>
      </c>
      <c r="M11">
        <f>L11+'Temporada 2025'!T17</f>
        <v>21</v>
      </c>
      <c r="N11">
        <f>M11+'Temporada 2025'!U17</f>
        <v>21</v>
      </c>
      <c r="O11">
        <f>N11+'Temporada 2025'!V17</f>
        <v>22</v>
      </c>
      <c r="P11">
        <f>O11+'Temporada 2025'!W17</f>
        <v>22</v>
      </c>
      <c r="Q11">
        <f>P11+'Temporada 2025'!X17</f>
        <v>37</v>
      </c>
      <c r="R11">
        <f>Q11+'Temporada 2025'!Y17</f>
        <v>38</v>
      </c>
      <c r="S11">
        <f>R11+'Temporada 2025'!Z17</f>
        <v>39</v>
      </c>
      <c r="T11">
        <f>S11+'Temporada 2025'!AA17</f>
        <v>39</v>
      </c>
      <c r="U11">
        <f>T11+'Temporada 2025'!AB17</f>
        <v>39</v>
      </c>
      <c r="V11">
        <f>U11+'Temporada 2025'!AC17</f>
        <v>39</v>
      </c>
      <c r="W11">
        <f>V11+'Temporada 2025'!AD17</f>
        <v>43</v>
      </c>
      <c r="X11">
        <f>W11+'Temporada 2025'!AE17</f>
        <v>51</v>
      </c>
      <c r="Y11">
        <f>X11+'Temporada 2025'!AF17</f>
        <v>51</v>
      </c>
      <c r="Z11">
        <f>Y11+'Temporada 2025'!AG17</f>
        <v>51</v>
      </c>
    </row>
    <row r="12" spans="1:26" x14ac:dyDescent="0.2">
      <c r="A12">
        <f>'Temporada 2025'!B18</f>
        <v>11</v>
      </c>
      <c r="B12" t="str">
        <f>'Temporada 2025'!C18</f>
        <v>Nico Hulkenberg</v>
      </c>
      <c r="C12">
        <f>'Temporada 2025'!J18</f>
        <v>6</v>
      </c>
      <c r="D12">
        <f>C12+'Temporada 2025'!K18</f>
        <v>6</v>
      </c>
      <c r="E12">
        <f>D12+'Temporada 2025'!L18</f>
        <v>6</v>
      </c>
      <c r="F12">
        <f>E12+'Temporada 2025'!M18</f>
        <v>6</v>
      </c>
      <c r="G12">
        <f>F12+'Temporada 2025'!N18</f>
        <v>6</v>
      </c>
      <c r="H12">
        <f>G12+'Temporada 2025'!O18</f>
        <v>6</v>
      </c>
      <c r="I12">
        <f>H12+'Temporada 2025'!P18</f>
        <v>6</v>
      </c>
      <c r="J12">
        <f>I12+'Temporada 2025'!Q18</f>
        <v>6</v>
      </c>
      <c r="K12">
        <f>J12+'Temporada 2025'!R18</f>
        <v>16</v>
      </c>
      <c r="L12">
        <f>K12+'Temporada 2025'!S18</f>
        <v>20</v>
      </c>
      <c r="M12">
        <f>L12+'Temporada 2025'!T18</f>
        <v>22</v>
      </c>
      <c r="N12">
        <f>M12+'Temporada 2025'!U18</f>
        <v>37</v>
      </c>
      <c r="O12">
        <f>N12+'Temporada 2025'!V18</f>
        <v>37</v>
      </c>
      <c r="P12">
        <f>O12+'Temporada 2025'!W18</f>
        <v>37</v>
      </c>
      <c r="Q12">
        <f>P12+'Temporada 2025'!X18</f>
        <v>37</v>
      </c>
      <c r="R12">
        <f>Q12+'Temporada 2025'!Y18</f>
        <v>37</v>
      </c>
      <c r="S12">
        <f>R12+'Temporada 2025'!Z18</f>
        <v>37</v>
      </c>
      <c r="T12">
        <f>S12+'Temporada 2025'!AA18</f>
        <v>37</v>
      </c>
      <c r="U12">
        <f>T12+'Temporada 2025'!AB18</f>
        <v>41</v>
      </c>
      <c r="V12">
        <f>U12+'Temporada 2025'!AC18</f>
        <v>41</v>
      </c>
      <c r="W12">
        <f>V12+'Temporada 2025'!AD18</f>
        <v>43</v>
      </c>
      <c r="X12">
        <f>W12+'Temporada 2025'!AE18</f>
        <v>49</v>
      </c>
      <c r="Y12">
        <f>X12+'Temporada 2025'!AF18</f>
        <v>49</v>
      </c>
      <c r="Z12">
        <f>Y12+'Temporada 2025'!AG18</f>
        <v>49</v>
      </c>
    </row>
    <row r="13" spans="1:26" x14ac:dyDescent="0.2">
      <c r="A13">
        <f>'Temporada 2025'!B19</f>
        <v>12</v>
      </c>
      <c r="B13" t="str">
        <f>'Temporada 2025'!C19</f>
        <v>Fernando Alonso</v>
      </c>
      <c r="C13">
        <f>'Temporada 2025'!J19</f>
        <v>0</v>
      </c>
      <c r="D13">
        <f>C13+'Temporada 2025'!K19</f>
        <v>0</v>
      </c>
      <c r="E13">
        <f>D13+'Temporada 2025'!L19</f>
        <v>0</v>
      </c>
      <c r="F13">
        <f>E13+'Temporada 2025'!M19</f>
        <v>0</v>
      </c>
      <c r="G13">
        <f>F13+'Temporada 2025'!N19</f>
        <v>0</v>
      </c>
      <c r="H13">
        <f>G13+'Temporada 2025'!O19</f>
        <v>0</v>
      </c>
      <c r="I13">
        <f>H13+'Temporada 2025'!P19</f>
        <v>0</v>
      </c>
      <c r="J13">
        <f>I13+'Temporada 2025'!Q19</f>
        <v>0</v>
      </c>
      <c r="K13">
        <f>J13+'Temporada 2025'!R19</f>
        <v>2</v>
      </c>
      <c r="L13">
        <f>K13+'Temporada 2025'!S19</f>
        <v>8</v>
      </c>
      <c r="M13">
        <f>L13+'Temporada 2025'!T19</f>
        <v>14</v>
      </c>
      <c r="N13">
        <f>M13+'Temporada 2025'!U19</f>
        <v>16</v>
      </c>
      <c r="O13">
        <f>N13+'Temporada 2025'!V19</f>
        <v>16</v>
      </c>
      <c r="P13">
        <f>O13+'Temporada 2025'!W19</f>
        <v>26</v>
      </c>
      <c r="Q13">
        <f>P13+'Temporada 2025'!X19</f>
        <v>30</v>
      </c>
      <c r="R13">
        <f>Q13+'Temporada 2025'!Y19</f>
        <v>30</v>
      </c>
      <c r="S13">
        <f>R13+'Temporada 2025'!Z19</f>
        <v>30</v>
      </c>
      <c r="T13">
        <f>S13+'Temporada 2025'!AA19</f>
        <v>36</v>
      </c>
      <c r="U13">
        <f>T13+'Temporada 2025'!AB19</f>
        <v>37</v>
      </c>
      <c r="V13">
        <f>U13+'Temporada 2025'!AC19</f>
        <v>37</v>
      </c>
      <c r="W13">
        <f>V13+'Temporada 2025'!AD19</f>
        <v>40</v>
      </c>
      <c r="X13">
        <f>W13+'Temporada 2025'!AE19</f>
        <v>40</v>
      </c>
      <c r="Y13">
        <f>X13+'Temporada 2025'!AF19</f>
        <v>48</v>
      </c>
      <c r="Z13">
        <f>Y13+'Temporada 2025'!AG19</f>
        <v>48</v>
      </c>
    </row>
    <row r="14" spans="1:26" x14ac:dyDescent="0.2">
      <c r="A14">
        <f>'Temporada 2025'!B20</f>
        <v>13</v>
      </c>
      <c r="B14" t="str">
        <f>'Temporada 2025'!C20</f>
        <v>Oliver Bearman</v>
      </c>
      <c r="C14">
        <f>'Temporada 2025'!J20</f>
        <v>0</v>
      </c>
      <c r="D14">
        <f>C14+'Temporada 2025'!K20</f>
        <v>4</v>
      </c>
      <c r="E14">
        <f>D14+'Temporada 2025'!L20</f>
        <v>5</v>
      </c>
      <c r="F14">
        <f>E14+'Temporada 2025'!M20</f>
        <v>6</v>
      </c>
      <c r="G14">
        <f>F14+'Temporada 2025'!N20</f>
        <v>6</v>
      </c>
      <c r="H14">
        <f>G14+'Temporada 2025'!O20</f>
        <v>6</v>
      </c>
      <c r="I14">
        <f>H14+'Temporada 2025'!P20</f>
        <v>6</v>
      </c>
      <c r="J14">
        <f>I14+'Temporada 2025'!Q20</f>
        <v>6</v>
      </c>
      <c r="K14">
        <f>J14+'Temporada 2025'!R20</f>
        <v>6</v>
      </c>
      <c r="L14">
        <f>K14+'Temporada 2025'!S20</f>
        <v>6</v>
      </c>
      <c r="M14">
        <f>L14+'Temporada 2025'!T20</f>
        <v>6</v>
      </c>
      <c r="N14">
        <f>M14+'Temporada 2025'!U20</f>
        <v>6</v>
      </c>
      <c r="O14">
        <f>N14+'Temporada 2025'!V20</f>
        <v>8</v>
      </c>
      <c r="P14">
        <f>O14+'Temporada 2025'!W20</f>
        <v>8</v>
      </c>
      <c r="Q14">
        <f>P14+'Temporada 2025'!X20</f>
        <v>16</v>
      </c>
      <c r="R14">
        <f>Q14+'Temporada 2025'!Y20</f>
        <v>16</v>
      </c>
      <c r="S14">
        <f>R14+'Temporada 2025'!Z20</f>
        <v>16</v>
      </c>
      <c r="T14">
        <f>S14+'Temporada 2025'!AA20</f>
        <v>18</v>
      </c>
      <c r="U14">
        <f>T14+'Temporada 2025'!AB20</f>
        <v>20</v>
      </c>
      <c r="V14">
        <f>U14+'Temporada 2025'!AC20</f>
        <v>32</v>
      </c>
      <c r="W14">
        <f>V14+'Temporada 2025'!AD20</f>
        <v>40</v>
      </c>
      <c r="X14">
        <f>W14+'Temporada 2025'!AE20</f>
        <v>41</v>
      </c>
      <c r="Y14">
        <f>X14+'Temporada 2025'!AF20</f>
        <v>41</v>
      </c>
      <c r="Z14">
        <f>Y14+'Temporada 2025'!AG20</f>
        <v>41</v>
      </c>
    </row>
    <row r="15" spans="1:26" x14ac:dyDescent="0.2">
      <c r="A15">
        <f>'Temporada 2025'!B21</f>
        <v>14</v>
      </c>
      <c r="B15" t="str">
        <f>'Temporada 2025'!C21</f>
        <v>Liam Lawson</v>
      </c>
      <c r="C15">
        <f>'Temporada 2025'!J21</f>
        <v>0</v>
      </c>
      <c r="D15">
        <f>C15+'Temporada 2025'!K21</f>
        <v>0</v>
      </c>
      <c r="E15">
        <f>D15+'Temporada 2025'!L21</f>
        <v>0</v>
      </c>
      <c r="F15">
        <f>E15+'Temporada 2025'!M21</f>
        <v>0</v>
      </c>
      <c r="G15">
        <f>F15+'Temporada 2025'!N21</f>
        <v>0</v>
      </c>
      <c r="H15">
        <f>G15+'Temporada 2025'!O21</f>
        <v>0</v>
      </c>
      <c r="I15">
        <f>H15+'Temporada 2025'!P21</f>
        <v>0</v>
      </c>
      <c r="J15">
        <f>I15+'Temporada 2025'!Q21</f>
        <v>4</v>
      </c>
      <c r="K15">
        <f>J15+'Temporada 2025'!R21</f>
        <v>4</v>
      </c>
      <c r="L15">
        <f>K15+'Temporada 2025'!S21</f>
        <v>4</v>
      </c>
      <c r="M15">
        <f>L15+'Temporada 2025'!T21</f>
        <v>12</v>
      </c>
      <c r="N15">
        <f>M15+'Temporada 2025'!U21</f>
        <v>12</v>
      </c>
      <c r="O15">
        <f>N15+'Temporada 2025'!V21</f>
        <v>16</v>
      </c>
      <c r="P15">
        <f>O15+'Temporada 2025'!W21</f>
        <v>20</v>
      </c>
      <c r="Q15">
        <f>P15+'Temporada 2025'!X21</f>
        <v>20</v>
      </c>
      <c r="R15">
        <f>Q15+'Temporada 2025'!Y21</f>
        <v>20</v>
      </c>
      <c r="S15">
        <f>R15+'Temporada 2025'!Z21</f>
        <v>30</v>
      </c>
      <c r="T15">
        <f>S15+'Temporada 2025'!AA21</f>
        <v>30</v>
      </c>
      <c r="U15">
        <f>T15+'Temporada 2025'!AB21</f>
        <v>30</v>
      </c>
      <c r="V15">
        <f>U15+'Temporada 2025'!AC21</f>
        <v>30</v>
      </c>
      <c r="W15">
        <f>V15+'Temporada 2025'!AD21</f>
        <v>36</v>
      </c>
      <c r="X15">
        <f>W15+'Temporada 2025'!AE21</f>
        <v>36</v>
      </c>
      <c r="Y15">
        <f>X15+'Temporada 2025'!AF21</f>
        <v>38</v>
      </c>
      <c r="Z15">
        <f>Y15+'Temporada 2025'!AG21</f>
        <v>38</v>
      </c>
    </row>
    <row r="16" spans="1:26" x14ac:dyDescent="0.2">
      <c r="A16">
        <f>'Temporada 2025'!B22</f>
        <v>15</v>
      </c>
      <c r="B16" t="str">
        <f>'Temporada 2025'!C22</f>
        <v>Yuki Tsunoda</v>
      </c>
      <c r="C16">
        <f>'Temporada 2025'!J22</f>
        <v>0</v>
      </c>
      <c r="D16">
        <f>C16+'Temporada 2025'!K22</f>
        <v>3</v>
      </c>
      <c r="E16">
        <f>D16+'Temporada 2025'!L22</f>
        <v>3</v>
      </c>
      <c r="F16">
        <f>E16+'Temporada 2025'!M22</f>
        <v>5</v>
      </c>
      <c r="G16">
        <f>F16+'Temporada 2025'!N22</f>
        <v>5</v>
      </c>
      <c r="H16">
        <f>G16+'Temporada 2025'!O22</f>
        <v>9</v>
      </c>
      <c r="I16">
        <f>H16+'Temporada 2025'!P22</f>
        <v>10</v>
      </c>
      <c r="J16">
        <f>I16+'Temporada 2025'!Q22</f>
        <v>10</v>
      </c>
      <c r="K16">
        <f>J16+'Temporada 2025'!R22</f>
        <v>10</v>
      </c>
      <c r="L16">
        <f>K16+'Temporada 2025'!S22</f>
        <v>10</v>
      </c>
      <c r="M16">
        <f>L16+'Temporada 2025'!T22</f>
        <v>10</v>
      </c>
      <c r="N16">
        <f>M16+'Temporada 2025'!U22</f>
        <v>10</v>
      </c>
      <c r="O16">
        <f>N16+'Temporada 2025'!V22</f>
        <v>10</v>
      </c>
      <c r="P16">
        <f>O16+'Temporada 2025'!W22</f>
        <v>10</v>
      </c>
      <c r="Q16">
        <f>P16+'Temporada 2025'!X22</f>
        <v>12</v>
      </c>
      <c r="R16">
        <f>Q16+'Temporada 2025'!Y22</f>
        <v>12</v>
      </c>
      <c r="S16">
        <f>R16+'Temporada 2025'!Z22</f>
        <v>20</v>
      </c>
      <c r="T16">
        <f>S16+'Temporada 2025'!AA22</f>
        <v>20</v>
      </c>
      <c r="U16">
        <f>T16+'Temporada 2025'!AB22</f>
        <v>28</v>
      </c>
      <c r="V16">
        <f>U16+'Temporada 2025'!AC22</f>
        <v>28</v>
      </c>
      <c r="W16">
        <f>V16+'Temporada 2025'!AD22</f>
        <v>28</v>
      </c>
      <c r="X16">
        <f>W16+'Temporada 2025'!AE22</f>
        <v>28</v>
      </c>
      <c r="Y16">
        <f>X16+'Temporada 2025'!AF22</f>
        <v>33</v>
      </c>
      <c r="Z16">
        <f>Y16+'Temporada 2025'!AG22</f>
        <v>33</v>
      </c>
    </row>
    <row r="17" spans="1:26" x14ac:dyDescent="0.2">
      <c r="A17">
        <f>'Temporada 2025'!B23</f>
        <v>16</v>
      </c>
      <c r="B17" t="str">
        <f>'Temporada 2025'!C23</f>
        <v>Esteban Ocon</v>
      </c>
      <c r="C17">
        <f>'Temporada 2025'!J23</f>
        <v>0</v>
      </c>
      <c r="D17">
        <f>C17+'Temporada 2025'!K23</f>
        <v>10</v>
      </c>
      <c r="E17">
        <f>D17+'Temporada 2025'!L23</f>
        <v>10</v>
      </c>
      <c r="F17">
        <f>E17+'Temporada 2025'!M23</f>
        <v>14</v>
      </c>
      <c r="G17">
        <f>F17+'Temporada 2025'!N23</f>
        <v>14</v>
      </c>
      <c r="H17">
        <f>G17+'Temporada 2025'!O23</f>
        <v>14</v>
      </c>
      <c r="I17">
        <f>H17+'Temporada 2025'!P23</f>
        <v>14</v>
      </c>
      <c r="J17">
        <f>I17+'Temporada 2025'!Q23</f>
        <v>20</v>
      </c>
      <c r="K17">
        <f>J17+'Temporada 2025'!R23</f>
        <v>20</v>
      </c>
      <c r="L17">
        <f>K17+'Temporada 2025'!S23</f>
        <v>22</v>
      </c>
      <c r="M17">
        <f>L17+'Temporada 2025'!T23</f>
        <v>23</v>
      </c>
      <c r="N17">
        <f>M17+'Temporada 2025'!U23</f>
        <v>23</v>
      </c>
      <c r="O17">
        <f>N17+'Temporada 2025'!V23</f>
        <v>27</v>
      </c>
      <c r="P17">
        <f>O17+'Temporada 2025'!W23</f>
        <v>27</v>
      </c>
      <c r="Q17">
        <f>P17+'Temporada 2025'!X23</f>
        <v>28</v>
      </c>
      <c r="R17">
        <f>Q17+'Temporada 2025'!Y23</f>
        <v>28</v>
      </c>
      <c r="S17">
        <f>R17+'Temporada 2025'!Z23</f>
        <v>28</v>
      </c>
      <c r="T17">
        <f>S17+'Temporada 2025'!AA23</f>
        <v>28</v>
      </c>
      <c r="U17">
        <f>T17+'Temporada 2025'!AB23</f>
        <v>28</v>
      </c>
      <c r="V17">
        <f>U17+'Temporada 2025'!AC23</f>
        <v>30</v>
      </c>
      <c r="W17">
        <f>V17+'Temporada 2025'!AD23</f>
        <v>30</v>
      </c>
      <c r="X17">
        <f>W17+'Temporada 2025'!AE23</f>
        <v>32</v>
      </c>
      <c r="Y17">
        <f>X17+'Temporada 2025'!AF23</f>
        <v>32</v>
      </c>
      <c r="Z17">
        <f>Y17+'Temporada 2025'!AG23</f>
        <v>32</v>
      </c>
    </row>
    <row r="18" spans="1:26" x14ac:dyDescent="0.2">
      <c r="A18">
        <f>'Temporada 2025'!B24</f>
        <v>17</v>
      </c>
      <c r="B18" t="str">
        <f>'Temporada 2025'!C24</f>
        <v>Lance Stroll</v>
      </c>
      <c r="C18">
        <f>'Temporada 2025'!J24</f>
        <v>8</v>
      </c>
      <c r="D18">
        <f>C18+'Temporada 2025'!K24</f>
        <v>10</v>
      </c>
      <c r="E18">
        <f>D18+'Temporada 2025'!L24</f>
        <v>10</v>
      </c>
      <c r="F18">
        <f>E18+'Temporada 2025'!M24</f>
        <v>10</v>
      </c>
      <c r="G18">
        <f>F18+'Temporada 2025'!N24</f>
        <v>10</v>
      </c>
      <c r="H18">
        <f>G18+'Temporada 2025'!O24</f>
        <v>14</v>
      </c>
      <c r="I18">
        <f>H18+'Temporada 2025'!P24</f>
        <v>14</v>
      </c>
      <c r="J18">
        <f>I18+'Temporada 2025'!Q24</f>
        <v>14</v>
      </c>
      <c r="K18">
        <f>J18+'Temporada 2025'!R24</f>
        <v>14</v>
      </c>
      <c r="L18">
        <f>K18+'Temporada 2025'!S24</f>
        <v>14</v>
      </c>
      <c r="M18">
        <f>L18+'Temporada 2025'!T24</f>
        <v>14</v>
      </c>
      <c r="N18">
        <f>M18+'Temporada 2025'!U24</f>
        <v>20</v>
      </c>
      <c r="O18">
        <f>N18+'Temporada 2025'!V24</f>
        <v>20</v>
      </c>
      <c r="P18">
        <f>O18+'Temporada 2025'!W24</f>
        <v>26</v>
      </c>
      <c r="Q18">
        <f>P18+'Temporada 2025'!X24</f>
        <v>32</v>
      </c>
      <c r="R18">
        <f>Q18+'Temporada 2025'!Y24</f>
        <v>32</v>
      </c>
      <c r="S18">
        <f>R18+'Temporada 2025'!Z24</f>
        <v>32</v>
      </c>
      <c r="T18">
        <f>S18+'Temporada 2025'!AA24</f>
        <v>32</v>
      </c>
      <c r="U18">
        <f>T18+'Temporada 2025'!AB24</f>
        <v>32</v>
      </c>
      <c r="V18">
        <f>U18+'Temporada 2025'!AC24</f>
        <v>32</v>
      </c>
      <c r="W18">
        <f>V18+'Temporada 2025'!AD24</f>
        <v>32</v>
      </c>
      <c r="X18">
        <f>W18+'Temporada 2025'!AE24</f>
        <v>32</v>
      </c>
      <c r="Y18">
        <f>X18+'Temporada 2025'!AF24</f>
        <v>32</v>
      </c>
      <c r="Z18">
        <f>Y18+'Temporada 2025'!AG24</f>
        <v>32</v>
      </c>
    </row>
    <row r="19" spans="1:26" x14ac:dyDescent="0.2">
      <c r="A19">
        <f>'Temporada 2025'!B25</f>
        <v>18</v>
      </c>
      <c r="B19" t="str">
        <f>'Temporada 2025'!C25</f>
        <v>Pierre Gasly</v>
      </c>
      <c r="C19">
        <f>'Temporada 2025'!J25</f>
        <v>0</v>
      </c>
      <c r="D19">
        <f>C19+'Temporada 2025'!K25</f>
        <v>0</v>
      </c>
      <c r="E19">
        <f>D19+'Temporada 2025'!L25</f>
        <v>0</v>
      </c>
      <c r="F19">
        <f>E19+'Temporada 2025'!M25</f>
        <v>6</v>
      </c>
      <c r="G19">
        <f>F19+'Temporada 2025'!N25</f>
        <v>6</v>
      </c>
      <c r="H19">
        <f>G19+'Temporada 2025'!O25</f>
        <v>7</v>
      </c>
      <c r="I19">
        <f>H19+'Temporada 2025'!P25</f>
        <v>7</v>
      </c>
      <c r="J19">
        <f>I19+'Temporada 2025'!Q25</f>
        <v>7</v>
      </c>
      <c r="K19">
        <f>J19+'Temporada 2025'!R25</f>
        <v>11</v>
      </c>
      <c r="L19">
        <f>K19+'Temporada 2025'!S25</f>
        <v>11</v>
      </c>
      <c r="M19">
        <f>L19+'Temporada 2025'!T25</f>
        <v>11</v>
      </c>
      <c r="N19">
        <f>M19+'Temporada 2025'!U25</f>
        <v>19</v>
      </c>
      <c r="O19">
        <f>N19+'Temporada 2025'!V25</f>
        <v>20</v>
      </c>
      <c r="P19">
        <f>O19+'Temporada 2025'!W25</f>
        <v>20</v>
      </c>
      <c r="Q19">
        <f>P19+'Temporada 2025'!X25</f>
        <v>20</v>
      </c>
      <c r="R19">
        <f>Q19+'Temporada 2025'!Y25</f>
        <v>20</v>
      </c>
      <c r="S19">
        <f>R19+'Temporada 2025'!Z25</f>
        <v>20</v>
      </c>
      <c r="T19">
        <f>S19+'Temporada 2025'!AA25</f>
        <v>20</v>
      </c>
      <c r="U19">
        <f>T19+'Temporada 2025'!AB25</f>
        <v>20</v>
      </c>
      <c r="V19">
        <f>U19+'Temporada 2025'!AC25</f>
        <v>20</v>
      </c>
      <c r="W19">
        <f>V19+'Temporada 2025'!AD25</f>
        <v>22</v>
      </c>
      <c r="X19">
        <f>W19+'Temporada 2025'!AE25</f>
        <v>22</v>
      </c>
      <c r="Y19">
        <f>X19+'Temporada 2025'!AF25</f>
        <v>22</v>
      </c>
      <c r="Z19">
        <f>Y19+'Temporada 2025'!AG25</f>
        <v>22</v>
      </c>
    </row>
    <row r="20" spans="1:26" x14ac:dyDescent="0.2">
      <c r="A20">
        <f>'Temporada 2025'!B26</f>
        <v>19</v>
      </c>
      <c r="B20" t="str">
        <f>'Temporada 2025'!C26</f>
        <v>Gabriel Bortoleto</v>
      </c>
      <c r="C20">
        <f>'Temporada 2025'!J26</f>
        <v>0</v>
      </c>
      <c r="D20">
        <f>C20+'Temporada 2025'!K26</f>
        <v>0</v>
      </c>
      <c r="E20">
        <f>D20+'Temporada 2025'!L26</f>
        <v>0</v>
      </c>
      <c r="F20">
        <f>E20+'Temporada 2025'!M26</f>
        <v>0</v>
      </c>
      <c r="G20">
        <f>F20+'Temporada 2025'!N26</f>
        <v>0</v>
      </c>
      <c r="H20">
        <f>G20+'Temporada 2025'!O26</f>
        <v>0</v>
      </c>
      <c r="I20">
        <f>H20+'Temporada 2025'!P26</f>
        <v>0</v>
      </c>
      <c r="J20">
        <f>I20+'Temporada 2025'!Q26</f>
        <v>0</v>
      </c>
      <c r="K20">
        <f>J20+'Temporada 2025'!R26</f>
        <v>0</v>
      </c>
      <c r="L20">
        <f>K20+'Temporada 2025'!S26</f>
        <v>0</v>
      </c>
      <c r="M20">
        <f>L20+'Temporada 2025'!T26</f>
        <v>4</v>
      </c>
      <c r="N20">
        <f>M20+'Temporada 2025'!U26</f>
        <v>4</v>
      </c>
      <c r="O20">
        <f>N20+'Temporada 2025'!V26</f>
        <v>6</v>
      </c>
      <c r="P20">
        <f>O20+'Temporada 2025'!W26</f>
        <v>14</v>
      </c>
      <c r="Q20">
        <f>P20+'Temporada 2025'!X26</f>
        <v>14</v>
      </c>
      <c r="R20">
        <f>Q20+'Temporada 2025'!Y26</f>
        <v>18</v>
      </c>
      <c r="S20">
        <f>R20+'Temporada 2025'!Z26</f>
        <v>18</v>
      </c>
      <c r="T20">
        <f>S20+'Temporada 2025'!AA26</f>
        <v>18</v>
      </c>
      <c r="U20">
        <f>T20+'Temporada 2025'!AB26</f>
        <v>18</v>
      </c>
      <c r="V20">
        <f>U20+'Temporada 2025'!AC26</f>
        <v>19</v>
      </c>
      <c r="W20">
        <f>V20+'Temporada 2025'!AD26</f>
        <v>19</v>
      </c>
      <c r="X20">
        <f>W20+'Temporada 2025'!AE26</f>
        <v>19</v>
      </c>
      <c r="Y20">
        <f>X20+'Temporada 2025'!AF26</f>
        <v>19</v>
      </c>
      <c r="Z20">
        <f>Y20+'Temporada 2025'!AG26</f>
        <v>19</v>
      </c>
    </row>
    <row r="21" spans="1:26" x14ac:dyDescent="0.2">
      <c r="A21">
        <f>'Temporada 2025'!B27</f>
        <v>20</v>
      </c>
      <c r="B21" t="str">
        <f>'Temporada 2025'!C27</f>
        <v>Franco Colapinto</v>
      </c>
      <c r="C21">
        <f>'Temporada 2025'!J27</f>
        <v>0</v>
      </c>
      <c r="D21">
        <f>C21+'Temporada 2025'!K27</f>
        <v>0</v>
      </c>
      <c r="E21">
        <f>D21+'Temporada 2025'!L27</f>
        <v>0</v>
      </c>
      <c r="F21">
        <f>E21+'Temporada 2025'!M27</f>
        <v>0</v>
      </c>
      <c r="G21">
        <f>F21+'Temporada 2025'!N27</f>
        <v>0</v>
      </c>
      <c r="H21">
        <f>G21+'Temporada 2025'!O27</f>
        <v>0</v>
      </c>
      <c r="I21">
        <f>H21+'Temporada 2025'!P27</f>
        <v>0</v>
      </c>
      <c r="J21">
        <f>I21+'Temporada 2025'!Q27</f>
        <v>0</v>
      </c>
      <c r="K21">
        <f>J21+'Temporada 2025'!R27</f>
        <v>0</v>
      </c>
      <c r="L21">
        <f>K21+'Temporada 2025'!S27</f>
        <v>0</v>
      </c>
      <c r="M21">
        <f>L21+'Temporada 2025'!T27</f>
        <v>0</v>
      </c>
      <c r="N21">
        <f>M21+'Temporada 2025'!U27</f>
        <v>0</v>
      </c>
      <c r="O21">
        <f>N21+'Temporada 2025'!V27</f>
        <v>0</v>
      </c>
      <c r="P21">
        <f>O21+'Temporada 2025'!W27</f>
        <v>0</v>
      </c>
      <c r="Q21">
        <f>P21+'Temporada 2025'!X27</f>
        <v>0</v>
      </c>
      <c r="R21">
        <f>Q21+'Temporada 2025'!Y27</f>
        <v>0</v>
      </c>
      <c r="S21">
        <f>R21+'Temporada 2025'!Z27</f>
        <v>0</v>
      </c>
      <c r="T21">
        <f>S21+'Temporada 2025'!AA27</f>
        <v>0</v>
      </c>
      <c r="U21">
        <f>T21+'Temporada 2025'!AB27</f>
        <v>0</v>
      </c>
      <c r="V21">
        <f>U21+'Temporada 2025'!AC27</f>
        <v>0</v>
      </c>
      <c r="W21">
        <f>V21+'Temporada 2025'!AD27</f>
        <v>0</v>
      </c>
      <c r="X21">
        <f>W21+'Temporada 2025'!AE27</f>
        <v>0</v>
      </c>
      <c r="Y21">
        <f>X21+'Temporada 2025'!AF27</f>
        <v>0</v>
      </c>
      <c r="Z21">
        <f>Y21+'Temporada 2025'!AG27</f>
        <v>0</v>
      </c>
    </row>
    <row r="22" spans="1:26" x14ac:dyDescent="0.2">
      <c r="A22">
        <f>'Temporada 2025'!B28</f>
        <v>21</v>
      </c>
      <c r="B22" t="str">
        <f>'Temporada 2025'!C28</f>
        <v>Jack Doohan</v>
      </c>
      <c r="C22">
        <f>'Temporada 2025'!J28</f>
        <v>0</v>
      </c>
      <c r="D22">
        <f>C22+'Temporada 2025'!K28</f>
        <v>0</v>
      </c>
      <c r="E22">
        <f>D22+'Temporada 2025'!L28</f>
        <v>0</v>
      </c>
      <c r="F22">
        <f>E22+'Temporada 2025'!M28</f>
        <v>0</v>
      </c>
      <c r="G22">
        <f>F22+'Temporada 2025'!N28</f>
        <v>0</v>
      </c>
      <c r="H22">
        <f>G22+'Temporada 2025'!O28</f>
        <v>0</v>
      </c>
      <c r="I22">
        <f>H22+'Temporada 2025'!P28</f>
        <v>0</v>
      </c>
      <c r="J22">
        <f>I22+'Temporada 2025'!Q28</f>
        <v>0</v>
      </c>
      <c r="K22">
        <f>J22+'Temporada 2025'!R28</f>
        <v>0</v>
      </c>
      <c r="L22">
        <f>K22+'Temporada 2025'!S28</f>
        <v>0</v>
      </c>
      <c r="M22">
        <f>L22+'Temporada 2025'!T28</f>
        <v>0</v>
      </c>
      <c r="N22">
        <f>M22+'Temporada 2025'!U28</f>
        <v>0</v>
      </c>
      <c r="O22">
        <f>N22+'Temporada 2025'!V28</f>
        <v>0</v>
      </c>
      <c r="P22">
        <f>O22+'Temporada 2025'!W28</f>
        <v>0</v>
      </c>
      <c r="Q22">
        <f>P22+'Temporada 2025'!X28</f>
        <v>0</v>
      </c>
      <c r="R22">
        <f>Q22+'Temporada 2025'!Y28</f>
        <v>0</v>
      </c>
      <c r="S22">
        <f>R22+'Temporada 2025'!Z28</f>
        <v>0</v>
      </c>
      <c r="T22">
        <f>S22+'Temporada 2025'!AA28</f>
        <v>0</v>
      </c>
      <c r="U22">
        <f>T22+'Temporada 2025'!AB28</f>
        <v>0</v>
      </c>
      <c r="V22">
        <f>U22+'Temporada 2025'!AC28</f>
        <v>0</v>
      </c>
      <c r="W22">
        <f>V22+'Temporada 2025'!AD28</f>
        <v>0</v>
      </c>
      <c r="X22">
        <f>W22+'Temporada 2025'!AE28</f>
        <v>0</v>
      </c>
      <c r="Y22">
        <f>X22+'Temporada 2025'!AF28</f>
        <v>0</v>
      </c>
      <c r="Z22">
        <f>Y22+'Temporada 2025'!AG28</f>
        <v>0</v>
      </c>
    </row>
    <row r="23" spans="1:26" hidden="1" x14ac:dyDescent="0.2">
      <c r="A23" t="str">
        <f>'Temporada 2025'!B29</f>
        <v/>
      </c>
      <c r="B23" t="str">
        <f>'Temporada 2025'!C29</f>
        <v/>
      </c>
      <c r="C23" t="str">
        <f>'Temporada 2025'!J29</f>
        <v/>
      </c>
      <c r="D23" t="e">
        <f>C23+'Temporada 2025'!K29</f>
        <v>#VALUE!</v>
      </c>
      <c r="E23" t="e">
        <f>D23+'Temporada 2025'!L29</f>
        <v>#VALUE!</v>
      </c>
      <c r="F23" t="e">
        <f>E23+'Temporada 2025'!M29</f>
        <v>#VALUE!</v>
      </c>
      <c r="G23" t="e">
        <f>F23+'Temporada 2025'!N29</f>
        <v>#VALUE!</v>
      </c>
      <c r="H23" t="e">
        <f>G23+'Temporada 2025'!O29</f>
        <v>#VALUE!</v>
      </c>
      <c r="I23" t="e">
        <f>H23+'Temporada 2025'!P29</f>
        <v>#VALUE!</v>
      </c>
      <c r="J23" t="e">
        <f>I23+'Temporada 2025'!Q29</f>
        <v>#VALUE!</v>
      </c>
      <c r="K23" t="e">
        <f>J23+'Temporada 2025'!R29</f>
        <v>#VALUE!</v>
      </c>
      <c r="L23" t="e">
        <f>K23+'Temporada 2025'!S29</f>
        <v>#VALUE!</v>
      </c>
      <c r="M23" t="e">
        <f>L23+'Temporada 2025'!T29</f>
        <v>#VALUE!</v>
      </c>
      <c r="N23" t="e">
        <f>M23+'Temporada 2025'!U29</f>
        <v>#VALUE!</v>
      </c>
      <c r="O23" t="e">
        <f>N23+'Temporada 2025'!V29</f>
        <v>#VALUE!</v>
      </c>
      <c r="P23" t="e">
        <f>O23+'Temporada 2025'!W29</f>
        <v>#VALUE!</v>
      </c>
      <c r="Q23" t="e">
        <f>P23+'Temporada 2025'!X29</f>
        <v>#VALUE!</v>
      </c>
      <c r="R23" t="e">
        <f>Q23+'Temporada 2025'!Y29</f>
        <v>#VALUE!</v>
      </c>
      <c r="S23" t="e">
        <f>R23+'Temporada 2025'!Z29</f>
        <v>#VALUE!</v>
      </c>
      <c r="T23" t="e">
        <f>S23+'Temporada 2025'!AA29</f>
        <v>#VALUE!</v>
      </c>
      <c r="U23" t="e">
        <f>T23+'Temporada 2025'!AB29</f>
        <v>#VALUE!</v>
      </c>
      <c r="V23" t="e">
        <f>U23+'Temporada 2025'!AC29</f>
        <v>#VALUE!</v>
      </c>
      <c r="W23" t="e">
        <f>V23+'Temporada 2025'!AD29</f>
        <v>#VALUE!</v>
      </c>
      <c r="X23" t="e">
        <f>W23+'Temporada 2025'!AE29</f>
        <v>#VALUE!</v>
      </c>
      <c r="Y23" t="e">
        <f>X23+'Temporada 2025'!AF29</f>
        <v>#VALUE!</v>
      </c>
      <c r="Z23" t="e">
        <f>Y23+'Temporada 2025'!AG29</f>
        <v>#VALUE!</v>
      </c>
    </row>
    <row r="24" spans="1:26" hidden="1" x14ac:dyDescent="0.2">
      <c r="A24" t="str">
        <f>'Temporada 2025'!B30</f>
        <v/>
      </c>
      <c r="B24" t="str">
        <f>'Temporada 2025'!C30</f>
        <v/>
      </c>
      <c r="C24" t="str">
        <f>'Temporada 2025'!J30</f>
        <v/>
      </c>
      <c r="D24" t="e">
        <f>C24+'Temporada 2025'!K30</f>
        <v>#VALUE!</v>
      </c>
      <c r="E24" t="e">
        <f>D24+'Temporada 2025'!L30</f>
        <v>#VALUE!</v>
      </c>
      <c r="F24" t="e">
        <f>E24+'Temporada 2025'!M30</f>
        <v>#VALUE!</v>
      </c>
      <c r="G24" t="e">
        <f>F24+'Temporada 2025'!N30</f>
        <v>#VALUE!</v>
      </c>
      <c r="H24" t="e">
        <f>G24+'Temporada 2025'!O30</f>
        <v>#VALUE!</v>
      </c>
      <c r="I24" t="e">
        <f>H24+'Temporada 2025'!P30</f>
        <v>#VALUE!</v>
      </c>
      <c r="J24" t="e">
        <f>I24+'Temporada 2025'!Q30</f>
        <v>#VALUE!</v>
      </c>
      <c r="K24" t="e">
        <f>J24+'Temporada 2025'!R30</f>
        <v>#VALUE!</v>
      </c>
      <c r="L24" t="e">
        <f>K24+'Temporada 2025'!S30</f>
        <v>#VALUE!</v>
      </c>
      <c r="M24" t="e">
        <f>L24+'Temporada 2025'!T30</f>
        <v>#VALUE!</v>
      </c>
      <c r="N24" t="e">
        <f>M24+'Temporada 2025'!U30</f>
        <v>#VALUE!</v>
      </c>
      <c r="O24" t="e">
        <f>N24+'Temporada 2025'!V30</f>
        <v>#VALUE!</v>
      </c>
      <c r="P24" t="e">
        <f>O24+'Temporada 2025'!W30</f>
        <v>#VALUE!</v>
      </c>
      <c r="Q24" t="e">
        <f>P24+'Temporada 2025'!X30</f>
        <v>#VALUE!</v>
      </c>
      <c r="R24" t="e">
        <f>Q24+'Temporada 2025'!Y30</f>
        <v>#VALUE!</v>
      </c>
      <c r="S24" t="e">
        <f>R24+'Temporada 2025'!Z30</f>
        <v>#VALUE!</v>
      </c>
      <c r="T24" t="e">
        <f>S24+'Temporada 2025'!AA30</f>
        <v>#VALUE!</v>
      </c>
      <c r="U24" t="e">
        <f>T24+'Temporada 2025'!AB30</f>
        <v>#VALUE!</v>
      </c>
      <c r="V24" t="e">
        <f>U24+'Temporada 2025'!AC30</f>
        <v>#VALUE!</v>
      </c>
      <c r="W24" t="e">
        <f>V24+'Temporada 2025'!AD30</f>
        <v>#VALUE!</v>
      </c>
      <c r="X24" t="e">
        <f>W24+'Temporada 2025'!AE30</f>
        <v>#VALUE!</v>
      </c>
      <c r="Y24" t="e">
        <f>X24+'Temporada 2025'!AF30</f>
        <v>#VALUE!</v>
      </c>
      <c r="Z24" t="e">
        <f>Y24+'Temporada 2025'!AG30</f>
        <v>#VALUE!</v>
      </c>
    </row>
    <row r="25" spans="1:26" hidden="1" x14ac:dyDescent="0.2">
      <c r="A25" t="str">
        <f>'Temporada 2025'!B31</f>
        <v/>
      </c>
      <c r="B25" t="str">
        <f>'Temporada 2025'!C31</f>
        <v/>
      </c>
      <c r="C25" t="str">
        <f>'Temporada 2025'!J31</f>
        <v/>
      </c>
      <c r="D25" t="e">
        <f>C25+'Temporada 2025'!K31</f>
        <v>#VALUE!</v>
      </c>
      <c r="E25" t="e">
        <f>D25+'Temporada 2025'!L31</f>
        <v>#VALUE!</v>
      </c>
      <c r="F25" t="e">
        <f>E25+'Temporada 2025'!M31</f>
        <v>#VALUE!</v>
      </c>
      <c r="G25" t="e">
        <f>F25+'Temporada 2025'!N31</f>
        <v>#VALUE!</v>
      </c>
      <c r="H25" t="e">
        <f>G25+'Temporada 2025'!O31</f>
        <v>#VALUE!</v>
      </c>
      <c r="I25" t="e">
        <f>H25+'Temporada 2025'!P31</f>
        <v>#VALUE!</v>
      </c>
      <c r="J25" t="e">
        <f>I25+'Temporada 2025'!Q31</f>
        <v>#VALUE!</v>
      </c>
      <c r="K25" t="e">
        <f>J25+'Temporada 2025'!R31</f>
        <v>#VALUE!</v>
      </c>
      <c r="L25" t="e">
        <f>K25+'Temporada 2025'!S31</f>
        <v>#VALUE!</v>
      </c>
      <c r="M25" t="e">
        <f>L25+'Temporada 2025'!T31</f>
        <v>#VALUE!</v>
      </c>
      <c r="N25" t="e">
        <f>M25+'Temporada 2025'!U31</f>
        <v>#VALUE!</v>
      </c>
      <c r="O25" t="e">
        <f>N25+'Temporada 2025'!V31</f>
        <v>#VALUE!</v>
      </c>
      <c r="P25" t="e">
        <f>O25+'Temporada 2025'!W31</f>
        <v>#VALUE!</v>
      </c>
      <c r="Q25" t="e">
        <f>P25+'Temporada 2025'!X31</f>
        <v>#VALUE!</v>
      </c>
      <c r="R25" t="e">
        <f>Q25+'Temporada 2025'!Y31</f>
        <v>#VALUE!</v>
      </c>
      <c r="S25" t="e">
        <f>R25+'Temporada 2025'!Z31</f>
        <v>#VALUE!</v>
      </c>
      <c r="T25" t="e">
        <f>S25+'Temporada 2025'!AA31</f>
        <v>#VALUE!</v>
      </c>
      <c r="U25" t="e">
        <f>T25+'Temporada 2025'!AB31</f>
        <v>#VALUE!</v>
      </c>
      <c r="V25" t="e">
        <f>U25+'Temporada 2025'!AC31</f>
        <v>#VALUE!</v>
      </c>
      <c r="W25" t="e">
        <f>V25+'Temporada 2025'!AD31</f>
        <v>#VALUE!</v>
      </c>
      <c r="X25" t="e">
        <f>W25+'Temporada 2025'!AE31</f>
        <v>#VALUE!</v>
      </c>
      <c r="Y25" t="e">
        <f>X25+'Temporada 2025'!AF31</f>
        <v>#VALUE!</v>
      </c>
      <c r="Z25" t="e">
        <f>Y25+'Temporada 2025'!AG31</f>
        <v>#VALUE!</v>
      </c>
    </row>
    <row r="26" spans="1:26" x14ac:dyDescent="0.2">
      <c r="A26" t="str">
        <f>'Temporada 2025'!B32</f>
        <v/>
      </c>
      <c r="B26" t="s">
        <v>430</v>
      </c>
      <c r="C26">
        <f>Tabela1[[#This Row],[ABU]]</f>
        <v>383</v>
      </c>
      <c r="D26">
        <f>Tabela1[[#This Row],[AUS]]</f>
        <v>383</v>
      </c>
      <c r="E26">
        <f>Tabela1[[#This Row],[CHI]]</f>
        <v>383</v>
      </c>
      <c r="F26">
        <f>Tabela1[[#This Row],[JAP]]</f>
        <v>383</v>
      </c>
      <c r="G26">
        <f>Tabela1[[#This Row],[BAH]]</f>
        <v>383</v>
      </c>
      <c r="H26">
        <f>Tabela1[[#This Row],[SAL]]</f>
        <v>383</v>
      </c>
      <c r="I26">
        <f>Tabela1[[#This Row],[MIA]]</f>
        <v>383</v>
      </c>
      <c r="J26">
        <f>Tabela1[[#This Row],[EMI]]</f>
        <v>383</v>
      </c>
      <c r="K26">
        <f>Tabela1[[#This Row],[MON]]</f>
        <v>383</v>
      </c>
      <c r="L26">
        <f>Tabela1[[#This Row],[ESP]]</f>
        <v>383</v>
      </c>
      <c r="M26">
        <f>Tabela1[[#This Row],[CAN]]</f>
        <v>383</v>
      </c>
      <c r="N26">
        <f>Tabela1[[#This Row],[AUT]]</f>
        <v>383</v>
      </c>
      <c r="O26">
        <f>Tabela1[[#This Row],[ING]]</f>
        <v>383</v>
      </c>
      <c r="P26">
        <f>Tabela1[[#This Row],[BEL]]</f>
        <v>383</v>
      </c>
      <c r="Q26">
        <f>Tabela1[[#This Row],[HUN]]</f>
        <v>383</v>
      </c>
      <c r="R26">
        <f>Tabela1[[#This Row],[HOL]]</f>
        <v>383</v>
      </c>
      <c r="S26">
        <f>Tabela1[[#This Row],[ITA]]</f>
        <v>383</v>
      </c>
      <c r="T26">
        <f>Tabela1[[#This Row],[AZE]]</f>
        <v>383</v>
      </c>
      <c r="U26">
        <f>Tabela1[[#This Row],[SIN]]</f>
        <v>383</v>
      </c>
      <c r="V26">
        <f>Tabela1[[#This Row],[USA]]</f>
        <v>383</v>
      </c>
      <c r="W26">
        <f>Tabela1[[#This Row],[MEX]]</f>
        <v>383</v>
      </c>
      <c r="X26">
        <f>Tabela1[[#This Row],[SÃO]]</f>
        <v>383</v>
      </c>
      <c r="Y26">
        <f>Tabela1[[#This Row],[VEG]]</f>
        <v>383</v>
      </c>
      <c r="Z26">
        <f>IF(Z2-Resultados!$K$35&lt;0,0,Z2-Resultados!$K$35)</f>
        <v>383</v>
      </c>
    </row>
    <row r="29" spans="1:26" ht="13.5" thickBot="1" x14ac:dyDescent="0.25">
      <c r="A29" s="141" t="s">
        <v>249</v>
      </c>
      <c r="B29" s="141" t="s">
        <v>17</v>
      </c>
      <c r="C29" s="141" t="s">
        <v>407</v>
      </c>
      <c r="D29" s="141" t="s">
        <v>408</v>
      </c>
      <c r="E29" s="141" t="s">
        <v>409</v>
      </c>
      <c r="F29" s="141" t="s">
        <v>410</v>
      </c>
      <c r="G29" s="141" t="s">
        <v>411</v>
      </c>
      <c r="H29" s="141" t="s">
        <v>412</v>
      </c>
      <c r="I29" s="141" t="s">
        <v>413</v>
      </c>
      <c r="J29" s="141" t="s">
        <v>414</v>
      </c>
      <c r="K29" s="141" t="s">
        <v>415</v>
      </c>
      <c r="L29" s="141" t="s">
        <v>416</v>
      </c>
      <c r="M29" s="141" t="s">
        <v>429</v>
      </c>
      <c r="N29" s="141" t="s">
        <v>417</v>
      </c>
      <c r="O29" s="141" t="s">
        <v>418</v>
      </c>
      <c r="P29" s="141" t="s">
        <v>419</v>
      </c>
      <c r="Q29" s="141" t="s">
        <v>420</v>
      </c>
      <c r="R29" s="141" t="s">
        <v>421</v>
      </c>
      <c r="S29" s="141" t="s">
        <v>422</v>
      </c>
      <c r="T29" s="141" t="s">
        <v>423</v>
      </c>
      <c r="U29" s="141" t="s">
        <v>307</v>
      </c>
      <c r="V29" s="141" t="s">
        <v>424</v>
      </c>
      <c r="W29" s="141" t="s">
        <v>425</v>
      </c>
      <c r="X29" s="141" t="s">
        <v>426</v>
      </c>
      <c r="Y29" s="141" t="s">
        <v>427</v>
      </c>
      <c r="Z29" s="141" t="s">
        <v>428</v>
      </c>
    </row>
    <row r="30" spans="1:26" x14ac:dyDescent="0.2">
      <c r="A30">
        <f>'Temporada 2025'!B39</f>
        <v>1</v>
      </c>
      <c r="B30" t="str">
        <f>'Temporada 2025'!C39</f>
        <v>McLaren 🏆</v>
      </c>
      <c r="C30">
        <f>'Temporada 2025'!J39</f>
        <v>27</v>
      </c>
      <c r="D30">
        <f>Tabela2[[#This Row],[AUS]]+'Temporada 2025'!K39</f>
        <v>78</v>
      </c>
      <c r="E30">
        <f>Tabela2[[#This Row],[CHI]]+'Temporada 2025'!L39</f>
        <v>111</v>
      </c>
      <c r="F30">
        <f>Tabela2[[#This Row],[JAP]]+'Temporada 2025'!M39</f>
        <v>151</v>
      </c>
      <c r="G30">
        <f>Tabela2[[#This Row],[BAH]]+'Temporada 2025'!N39</f>
        <v>188</v>
      </c>
      <c r="H30">
        <f>Tabela2[[#This Row],[SAL]]+'Temporada 2025'!O39</f>
        <v>246</v>
      </c>
      <c r="I30">
        <f>Tabela2[[#This Row],[MIA]]+'Temporada 2025'!P39</f>
        <v>279</v>
      </c>
      <c r="J30">
        <f>Tabela2[[#This Row],[EMI]]+'Temporada 2025'!Q39</f>
        <v>319</v>
      </c>
      <c r="K30">
        <f>Tabela2[[#This Row],[MON]]+'Temporada 2025'!R39</f>
        <v>362</v>
      </c>
      <c r="L30">
        <f>Tabela2[[#This Row],[ESP]]+'Temporada 2025'!S39</f>
        <v>374</v>
      </c>
      <c r="M30">
        <f>Tabela2[[#This Row],[CAN]]+'Temporada 2025'!T39</f>
        <v>417</v>
      </c>
      <c r="N30">
        <f>Tabela2[[#This Row],[AUT]]+'Temporada 2025'!U39</f>
        <v>460</v>
      </c>
      <c r="O30">
        <f>Tabela2[[#This Row],[ING]]+'Temporada 2025'!V39</f>
        <v>516</v>
      </c>
      <c r="P30">
        <f>Tabela2[[#This Row],[BEL]]+'Temporada 2025'!W39</f>
        <v>559</v>
      </c>
      <c r="Q30">
        <f>Tabela2[[#This Row],[HUN]]+'Temporada 2025'!X39</f>
        <v>584</v>
      </c>
      <c r="R30">
        <f>Tabela2[[#This Row],[HOL]]+'Temporada 2025'!Y39</f>
        <v>617</v>
      </c>
      <c r="S30">
        <f>Tabela2[[#This Row],[ITA]]+'Temporada 2025'!Z39</f>
        <v>623</v>
      </c>
      <c r="T30">
        <f>Tabela2[[#This Row],[AZE]]+'Temporada 2025'!AA39</f>
        <v>650</v>
      </c>
      <c r="U30">
        <f>Tabela2[[#This Row],[SIN]]+'Temporada 2025'!AB39</f>
        <v>678</v>
      </c>
      <c r="V30">
        <f>Tabela2[[#This Row],[USA]]+'Temporada 2025'!AC39</f>
        <v>713</v>
      </c>
      <c r="W30">
        <f>Tabela2[[#This Row],[MEX]]+'Temporada 2025'!AD39</f>
        <v>756</v>
      </c>
      <c r="X30">
        <f>Tabela2[[#This Row],[SÃO]]+'Temporada 2025'!AE39</f>
        <v>756</v>
      </c>
      <c r="Y30">
        <f>Tabela2[[#This Row],[VEG]]+'Temporada 2025'!AF39</f>
        <v>800</v>
      </c>
      <c r="Z30">
        <f>Tabela2[[#This Row],[QAT]]+'Temporada 2025'!AG39</f>
        <v>800</v>
      </c>
    </row>
    <row r="31" spans="1:26" x14ac:dyDescent="0.2">
      <c r="A31">
        <f>'Temporada 2025'!B40</f>
        <v>2</v>
      </c>
      <c r="B31" t="str">
        <f>'Temporada 2025'!C40</f>
        <v>Mercedes</v>
      </c>
      <c r="C31">
        <f>'Temporada 2025'!J40</f>
        <v>27</v>
      </c>
      <c r="D31">
        <f>Tabela2[[#This Row],[AUS]]+'Temporada 2025'!K40</f>
        <v>57</v>
      </c>
      <c r="E31">
        <f>Tabela2[[#This Row],[CHI]]+'Temporada 2025'!L40</f>
        <v>75</v>
      </c>
      <c r="F31">
        <f>Tabela2[[#This Row],[JAP]]+'Temporada 2025'!M40</f>
        <v>93</v>
      </c>
      <c r="G31">
        <f>Tabela2[[#This Row],[BAH]]+'Temporada 2025'!N40</f>
        <v>111</v>
      </c>
      <c r="H31">
        <f>Tabela2[[#This Row],[SAL]]+'Temporada 2025'!O40</f>
        <v>141</v>
      </c>
      <c r="I31">
        <f>Tabela2[[#This Row],[MIA]]+'Temporada 2025'!P40</f>
        <v>147</v>
      </c>
      <c r="J31">
        <f>Tabela2[[#This Row],[EMI]]+'Temporada 2025'!Q40</f>
        <v>147</v>
      </c>
      <c r="K31">
        <f>Tabela2[[#This Row],[MON]]+'Temporada 2025'!R40</f>
        <v>159</v>
      </c>
      <c r="L31">
        <f>Tabela2[[#This Row],[ESP]]+'Temporada 2025'!S40</f>
        <v>199</v>
      </c>
      <c r="M31">
        <f>Tabela2[[#This Row],[CAN]]+'Temporada 2025'!T40</f>
        <v>209</v>
      </c>
      <c r="N31">
        <f>Tabela2[[#This Row],[AUT]]+'Temporada 2025'!U40</f>
        <v>210</v>
      </c>
      <c r="O31">
        <f>Tabela2[[#This Row],[ING]]+'Temporada 2025'!V40</f>
        <v>220</v>
      </c>
      <c r="P31">
        <f>Tabela2[[#This Row],[BEL]]+'Temporada 2025'!W40</f>
        <v>236</v>
      </c>
      <c r="Q31">
        <f>Tabela2[[#This Row],[HUN]]+'Temporada 2025'!X40</f>
        <v>248</v>
      </c>
      <c r="R31">
        <f>Tabela2[[#This Row],[HOL]]+'Temporada 2025'!Y40</f>
        <v>260</v>
      </c>
      <c r="S31">
        <f>Tabela2[[#This Row],[ITA]]+'Temporada 2025'!Z40</f>
        <v>290</v>
      </c>
      <c r="T31">
        <f>Tabela2[[#This Row],[AZE]]+'Temporada 2025'!AA40</f>
        <v>325</v>
      </c>
      <c r="U31">
        <f>Tabela2[[#This Row],[SIN]]+'Temporada 2025'!AB40</f>
        <v>341</v>
      </c>
      <c r="V31">
        <f>Tabela2[[#This Row],[USA]]+'Temporada 2025'!AC40</f>
        <v>355</v>
      </c>
      <c r="W31">
        <f>Tabela2[[#This Row],[MEX]]+'Temporada 2025'!AD40</f>
        <v>398</v>
      </c>
      <c r="X31">
        <f>Tabela2[[#This Row],[SÃO]]+'Temporada 2025'!AE40</f>
        <v>431</v>
      </c>
      <c r="Y31">
        <f>Tabela2[[#This Row],[VEG]]+'Temporada 2025'!AF40</f>
        <v>459</v>
      </c>
      <c r="Z31">
        <f>Tabela2[[#This Row],[QAT]]+'Temporada 2025'!AG40</f>
        <v>459</v>
      </c>
    </row>
    <row r="32" spans="1:26" x14ac:dyDescent="0.2">
      <c r="A32">
        <f>'Temporada 2025'!B41</f>
        <v>3</v>
      </c>
      <c r="B32" t="str">
        <f>'Temporada 2025'!C41</f>
        <v>Red Bull</v>
      </c>
      <c r="C32">
        <f>'Temporada 2025'!J41</f>
        <v>18</v>
      </c>
      <c r="D32">
        <f>Tabela2[[#This Row],[AUS]]+'Temporada 2025'!K41</f>
        <v>39</v>
      </c>
      <c r="E32">
        <f>Tabela2[[#This Row],[CHI]]+'Temporada 2025'!L41</f>
        <v>64</v>
      </c>
      <c r="F32">
        <f>Tabela2[[#This Row],[JAP]]+'Temporada 2025'!M41</f>
        <v>74</v>
      </c>
      <c r="G32">
        <f>Tabela2[[#This Row],[BAH]]+'Temporada 2025'!N41</f>
        <v>92</v>
      </c>
      <c r="H32">
        <f>Tabela2[[#This Row],[SAL]]+'Temporada 2025'!O41</f>
        <v>108</v>
      </c>
      <c r="I32">
        <f>Tabela2[[#This Row],[MIA]]+'Temporada 2025'!P41</f>
        <v>134</v>
      </c>
      <c r="J32">
        <f>Tabela2[[#This Row],[EMI]]+'Temporada 2025'!Q41</f>
        <v>146</v>
      </c>
      <c r="K32">
        <f>Tabela2[[#This Row],[MON]]+'Temporada 2025'!R41</f>
        <v>147</v>
      </c>
      <c r="L32">
        <f>Tabela2[[#This Row],[ESP]]+'Temporada 2025'!S41</f>
        <v>165</v>
      </c>
      <c r="M32">
        <f>Tabela2[[#This Row],[CAN]]+'Temporada 2025'!T41</f>
        <v>165</v>
      </c>
      <c r="N32">
        <f>Tabela2[[#This Row],[AUT]]+'Temporada 2025'!U41</f>
        <v>175</v>
      </c>
      <c r="O32">
        <f>Tabela2[[#This Row],[ING]]+'Temporada 2025'!V41</f>
        <v>195</v>
      </c>
      <c r="P32">
        <f>Tabela2[[#This Row],[BEL]]+'Temporada 2025'!W41</f>
        <v>197</v>
      </c>
      <c r="Q32">
        <f>Tabela2[[#This Row],[HUN]]+'Temporada 2025'!X41</f>
        <v>217</v>
      </c>
      <c r="R32">
        <f>Tabela2[[#This Row],[HOL]]+'Temporada 2025'!Y41</f>
        <v>242</v>
      </c>
      <c r="S32">
        <f>Tabela2[[#This Row],[ITA]]+'Temporada 2025'!Z41</f>
        <v>275</v>
      </c>
      <c r="T32">
        <f>Tabela2[[#This Row],[AZE]]+'Temporada 2025'!AA41</f>
        <v>293</v>
      </c>
      <c r="U32">
        <f>Tabela2[[#This Row],[SIN]]+'Temporada 2025'!AB41</f>
        <v>334</v>
      </c>
      <c r="V32">
        <f>Tabela2[[#This Row],[USA]]+'Temporada 2025'!AC41</f>
        <v>349</v>
      </c>
      <c r="W32">
        <f>Tabela2[[#This Row],[MEX]]+'Temporada 2025'!AD41</f>
        <v>369</v>
      </c>
      <c r="X32">
        <f>Tabela2[[#This Row],[SÃO]]+'Temporada 2025'!AE41</f>
        <v>394</v>
      </c>
      <c r="Y32">
        <f>Tabela2[[#This Row],[VEG]]+'Temporada 2025'!AF41</f>
        <v>429</v>
      </c>
      <c r="Z32">
        <f>Tabela2[[#This Row],[QAT]]+'Temporada 2025'!AG41</f>
        <v>429</v>
      </c>
    </row>
    <row r="33" spans="1:26" x14ac:dyDescent="0.2">
      <c r="A33">
        <f>'Temporada 2025'!B42</f>
        <v>4</v>
      </c>
      <c r="B33" t="str">
        <f>'Temporada 2025'!C42</f>
        <v>Ferrari</v>
      </c>
      <c r="C33">
        <f>'Temporada 2025'!J42</f>
        <v>5</v>
      </c>
      <c r="D33">
        <f>Tabela2[[#This Row],[AUS]]+'Temporada 2025'!K42</f>
        <v>17</v>
      </c>
      <c r="E33">
        <f>Tabela2[[#This Row],[CHI]]+'Temporada 2025'!L42</f>
        <v>35</v>
      </c>
      <c r="F33">
        <f>Tabela2[[#This Row],[JAP]]+'Temporada 2025'!M42</f>
        <v>57</v>
      </c>
      <c r="G33">
        <f>Tabela2[[#This Row],[BAH]]+'Temporada 2025'!N42</f>
        <v>78</v>
      </c>
      <c r="H33">
        <f>Tabela2[[#This Row],[SAL]]+'Temporada 2025'!O42</f>
        <v>94</v>
      </c>
      <c r="I33">
        <f>Tabela2[[#This Row],[MIA]]+'Temporada 2025'!P42</f>
        <v>114</v>
      </c>
      <c r="J33">
        <f>Tabela2[[#This Row],[EMI]]+'Temporada 2025'!Q42</f>
        <v>142</v>
      </c>
      <c r="K33">
        <f>Tabela2[[#This Row],[MON]]+'Temporada 2025'!R42</f>
        <v>165</v>
      </c>
      <c r="L33">
        <f>Tabela2[[#This Row],[ESP]]+'Temporada 2025'!S42</f>
        <v>183</v>
      </c>
      <c r="M33">
        <f>Tabela2[[#This Row],[CAN]]+'Temporada 2025'!T42</f>
        <v>210</v>
      </c>
      <c r="N33">
        <f>Tabela2[[#This Row],[AUT]]+'Temporada 2025'!U42</f>
        <v>222</v>
      </c>
      <c r="O33">
        <f>Tabela2[[#This Row],[ING]]+'Temporada 2025'!V42</f>
        <v>248</v>
      </c>
      <c r="P33">
        <f>Tabela2[[#This Row],[BEL]]+'Temporada 2025'!W42</f>
        <v>260</v>
      </c>
      <c r="Q33">
        <f>Tabela2[[#This Row],[HUN]]+'Temporada 2025'!X42</f>
        <v>260</v>
      </c>
      <c r="R33">
        <f>Tabela2[[#This Row],[HOL]]+'Temporada 2025'!Y42</f>
        <v>280</v>
      </c>
      <c r="S33">
        <f>Tabela2[[#This Row],[ITA]]+'Temporada 2025'!Z42</f>
        <v>286</v>
      </c>
      <c r="T33">
        <f>Tabela2[[#This Row],[AZE]]+'Temporada 2025'!AA42</f>
        <v>298</v>
      </c>
      <c r="U33">
        <f>Tabela2[[#This Row],[SIN]]+'Temporada 2025'!AB42</f>
        <v>334</v>
      </c>
      <c r="V33">
        <f>Tabela2[[#This Row],[USA]]+'Temporada 2025'!AC42</f>
        <v>356</v>
      </c>
      <c r="W33">
        <f>Tabela2[[#This Row],[MEX]]+'Temporada 2025'!AD42</f>
        <v>362</v>
      </c>
      <c r="X33">
        <f>Tabela2[[#This Row],[SÃO]]+'Temporada 2025'!AE42</f>
        <v>378</v>
      </c>
      <c r="Y33">
        <f>Tabela2[[#This Row],[VEG]]+'Temporada 2025'!AF42</f>
        <v>382</v>
      </c>
      <c r="Z33">
        <f>Tabela2[[#This Row],[QAT]]+'Temporada 2025'!AG42</f>
        <v>382</v>
      </c>
    </row>
    <row r="34" spans="1:26" x14ac:dyDescent="0.2">
      <c r="A34">
        <f>'Temporada 2025'!B43</f>
        <v>5</v>
      </c>
      <c r="B34" t="str">
        <f>'Temporada 2025'!C43</f>
        <v>Williams</v>
      </c>
      <c r="C34">
        <f>'Temporada 2025'!J43</f>
        <v>10</v>
      </c>
      <c r="D34">
        <f>Tabela2[[#This Row],[AUS]]+'Temporada 2025'!K43</f>
        <v>17</v>
      </c>
      <c r="E34">
        <f>Tabela2[[#This Row],[CHI]]+'Temporada 2025'!L43</f>
        <v>19</v>
      </c>
      <c r="F34">
        <f>Tabela2[[#This Row],[JAP]]+'Temporada 2025'!M43</f>
        <v>19</v>
      </c>
      <c r="G34">
        <f>Tabela2[[#This Row],[BAH]]+'Temporada 2025'!N43</f>
        <v>25</v>
      </c>
      <c r="H34">
        <f>Tabela2[[#This Row],[SAL]]+'Temporada 2025'!O43</f>
        <v>37</v>
      </c>
      <c r="I34">
        <f>Tabela2[[#This Row],[MIA]]+'Temporada 2025'!P43</f>
        <v>51</v>
      </c>
      <c r="J34">
        <f>Tabela2[[#This Row],[EMI]]+'Temporada 2025'!Q43</f>
        <v>54</v>
      </c>
      <c r="K34">
        <f>Tabela2[[#This Row],[MON]]+'Temporada 2025'!R43</f>
        <v>54</v>
      </c>
      <c r="L34">
        <f>Tabela2[[#This Row],[ESP]]+'Temporada 2025'!S43</f>
        <v>55</v>
      </c>
      <c r="M34">
        <f>Tabela2[[#This Row],[CAN]]+'Temporada 2025'!T43</f>
        <v>55</v>
      </c>
      <c r="N34">
        <f>Tabela2[[#This Row],[AUT]]+'Temporada 2025'!U43</f>
        <v>59</v>
      </c>
      <c r="O34">
        <f>Tabela2[[#This Row],[ING]]+'Temporada 2025'!V43</f>
        <v>70</v>
      </c>
      <c r="P34">
        <f>Tabela2[[#This Row],[BEL]]+'Temporada 2025'!W43</f>
        <v>70</v>
      </c>
      <c r="Q34">
        <f>Tabela2[[#This Row],[HUN]]+'Temporada 2025'!X43</f>
        <v>80</v>
      </c>
      <c r="R34">
        <f>Tabela2[[#This Row],[HOL]]+'Temporada 2025'!Y43</f>
        <v>86</v>
      </c>
      <c r="S34">
        <f>Tabela2[[#This Row],[ITA]]+'Temporada 2025'!Z43</f>
        <v>101</v>
      </c>
      <c r="T34">
        <f>Tabela2[[#This Row],[AZE]]+'Temporada 2025'!AA43</f>
        <v>102</v>
      </c>
      <c r="U34">
        <f>Tabela2[[#This Row],[SIN]]+'Temporada 2025'!AB43</f>
        <v>111</v>
      </c>
      <c r="V34">
        <f>Tabela2[[#This Row],[USA]]+'Temporada 2025'!AC43</f>
        <v>111</v>
      </c>
      <c r="W34">
        <f>Tabela2[[#This Row],[MEX]]+'Temporada 2025'!AD43</f>
        <v>111</v>
      </c>
      <c r="X34">
        <f>Tabela2[[#This Row],[SÃO]]+'Temporada 2025'!AE43</f>
        <v>121</v>
      </c>
      <c r="Y34">
        <f>Tabela2[[#This Row],[VEG]]+'Temporada 2025'!AF43</f>
        <v>137</v>
      </c>
      <c r="Z34">
        <f>Tabela2[[#This Row],[QAT]]+'Temporada 2025'!AG43</f>
        <v>137</v>
      </c>
    </row>
    <row r="35" spans="1:26" x14ac:dyDescent="0.2">
      <c r="A35">
        <f>'Temporada 2025'!B44</f>
        <v>6</v>
      </c>
      <c r="B35" t="str">
        <f>'Temporada 2025'!C44</f>
        <v>Racing Bulls</v>
      </c>
      <c r="C35">
        <f>'Temporada 2025'!J44</f>
        <v>0</v>
      </c>
      <c r="D35">
        <f>Tabela2[[#This Row],[AUS]]+'Temporada 2025'!K44</f>
        <v>0</v>
      </c>
      <c r="E35">
        <f>Tabela2[[#This Row],[CHI]]+'Temporada 2025'!L44</f>
        <v>4</v>
      </c>
      <c r="F35">
        <f>Tabela2[[#This Row],[JAP]]+'Temporada 2025'!M44</f>
        <v>4</v>
      </c>
      <c r="G35">
        <f>Tabela2[[#This Row],[BAH]]+'Temporada 2025'!N44</f>
        <v>5</v>
      </c>
      <c r="H35">
        <f>Tabela2[[#This Row],[SAL]]+'Temporada 2025'!O44</f>
        <v>5</v>
      </c>
      <c r="I35">
        <f>Tabela2[[#This Row],[MIA]]+'Temporada 2025'!P44</f>
        <v>7</v>
      </c>
      <c r="J35">
        <f>Tabela2[[#This Row],[EMI]]+'Temporada 2025'!Q44</f>
        <v>19</v>
      </c>
      <c r="K35">
        <f>Tabela2[[#This Row],[MON]]+'Temporada 2025'!R44</f>
        <v>25</v>
      </c>
      <c r="L35">
        <f>Tabela2[[#This Row],[ESP]]+'Temporada 2025'!S44</f>
        <v>25</v>
      </c>
      <c r="M35">
        <f>Tabela2[[#This Row],[CAN]]+'Temporada 2025'!T44</f>
        <v>33</v>
      </c>
      <c r="N35">
        <f>Tabela2[[#This Row],[AUT]]+'Temporada 2025'!U44</f>
        <v>33</v>
      </c>
      <c r="O35">
        <f>Tabela2[[#This Row],[ING]]+'Temporada 2025'!V44</f>
        <v>38</v>
      </c>
      <c r="P35">
        <f>Tabela2[[#This Row],[BEL]]+'Temporada 2025'!W44</f>
        <v>42</v>
      </c>
      <c r="Q35">
        <f>Tabela2[[#This Row],[HUN]]+'Temporada 2025'!X44</f>
        <v>57</v>
      </c>
      <c r="R35">
        <f>Tabela2[[#This Row],[HOL]]+'Temporada 2025'!Y44</f>
        <v>58</v>
      </c>
      <c r="S35">
        <f>Tabela2[[#This Row],[ITA]]+'Temporada 2025'!Z44</f>
        <v>69</v>
      </c>
      <c r="T35">
        <f>Tabela2[[#This Row],[AZE]]+'Temporada 2025'!AA44</f>
        <v>69</v>
      </c>
      <c r="U35">
        <f>Tabela2[[#This Row],[SIN]]+'Temporada 2025'!AB44</f>
        <v>69</v>
      </c>
      <c r="V35">
        <f>Tabela2[[#This Row],[USA]]+'Temporada 2025'!AC44</f>
        <v>69</v>
      </c>
      <c r="W35">
        <f>Tabela2[[#This Row],[MEX]]+'Temporada 2025'!AD44</f>
        <v>79</v>
      </c>
      <c r="X35">
        <f>Tabela2[[#This Row],[SÃO]]+'Temporada 2025'!AE44</f>
        <v>87</v>
      </c>
      <c r="Y35">
        <f>Tabela2[[#This Row],[VEG]]+'Temporada 2025'!AF44</f>
        <v>89</v>
      </c>
      <c r="Z35">
        <f>Tabela2[[#This Row],[QAT]]+'Temporada 2025'!AG44</f>
        <v>89</v>
      </c>
    </row>
    <row r="36" spans="1:26" x14ac:dyDescent="0.2">
      <c r="A36">
        <f>'Temporada 2025'!B45</f>
        <v>7</v>
      </c>
      <c r="B36" t="str">
        <f>'Temporada 2025'!C45</f>
        <v>Aston Martin</v>
      </c>
      <c r="C36">
        <f>'Temporada 2025'!J45</f>
        <v>8</v>
      </c>
      <c r="D36">
        <f>Tabela2[[#This Row],[AUS]]+'Temporada 2025'!K45</f>
        <v>10</v>
      </c>
      <c r="E36">
        <f>Tabela2[[#This Row],[CHI]]+'Temporada 2025'!L45</f>
        <v>10</v>
      </c>
      <c r="F36">
        <f>Tabela2[[#This Row],[JAP]]+'Temporada 2025'!M45</f>
        <v>10</v>
      </c>
      <c r="G36">
        <f>Tabela2[[#This Row],[BAH]]+'Temporada 2025'!N45</f>
        <v>10</v>
      </c>
      <c r="H36">
        <f>Tabela2[[#This Row],[SAL]]+'Temporada 2025'!O45</f>
        <v>14</v>
      </c>
      <c r="I36">
        <f>Tabela2[[#This Row],[MIA]]+'Temporada 2025'!P45</f>
        <v>14</v>
      </c>
      <c r="J36">
        <f>Tabela2[[#This Row],[EMI]]+'Temporada 2025'!Q45</f>
        <v>14</v>
      </c>
      <c r="K36">
        <f>Tabela2[[#This Row],[MON]]+'Temporada 2025'!R45</f>
        <v>16</v>
      </c>
      <c r="L36">
        <f>Tabela2[[#This Row],[ESP]]+'Temporada 2025'!S45</f>
        <v>22</v>
      </c>
      <c r="M36">
        <f>Tabela2[[#This Row],[CAN]]+'Temporada 2025'!T45</f>
        <v>28</v>
      </c>
      <c r="N36">
        <f>Tabela2[[#This Row],[AUT]]+'Temporada 2025'!U45</f>
        <v>36</v>
      </c>
      <c r="O36">
        <f>Tabela2[[#This Row],[ING]]+'Temporada 2025'!V45</f>
        <v>36</v>
      </c>
      <c r="P36">
        <f>Tabela2[[#This Row],[BEL]]+'Temporada 2025'!W45</f>
        <v>52</v>
      </c>
      <c r="Q36">
        <f>Tabela2[[#This Row],[HUN]]+'Temporada 2025'!X45</f>
        <v>62</v>
      </c>
      <c r="R36">
        <f>Tabela2[[#This Row],[HOL]]+'Temporada 2025'!Y45</f>
        <v>62</v>
      </c>
      <c r="S36">
        <f>Tabela2[[#This Row],[ITA]]+'Temporada 2025'!Z45</f>
        <v>62</v>
      </c>
      <c r="T36">
        <f>Tabela2[[#This Row],[AZE]]+'Temporada 2025'!AA45</f>
        <v>68</v>
      </c>
      <c r="U36">
        <f>Tabela2[[#This Row],[SIN]]+'Temporada 2025'!AB45</f>
        <v>69</v>
      </c>
      <c r="V36">
        <f>Tabela2[[#This Row],[USA]]+'Temporada 2025'!AC45</f>
        <v>69</v>
      </c>
      <c r="W36">
        <f>Tabela2[[#This Row],[MEX]]+'Temporada 2025'!AD45</f>
        <v>72</v>
      </c>
      <c r="X36">
        <f>Tabela2[[#This Row],[SÃO]]+'Temporada 2025'!AE45</f>
        <v>72</v>
      </c>
      <c r="Y36">
        <f>Tabela2[[#This Row],[VEG]]+'Temporada 2025'!AF45</f>
        <v>80</v>
      </c>
      <c r="Z36">
        <f>Tabela2[[#This Row],[QAT]]+'Temporada 2025'!AG45</f>
        <v>80</v>
      </c>
    </row>
    <row r="37" spans="1:26" x14ac:dyDescent="0.2">
      <c r="A37">
        <f>'Temporada 2025'!B46</f>
        <v>8</v>
      </c>
      <c r="B37" t="str">
        <f>'Temporada 2025'!C46</f>
        <v>Haas</v>
      </c>
      <c r="C37">
        <f>'Temporada 2025'!J46</f>
        <v>0</v>
      </c>
      <c r="D37">
        <f>Tabela2[[#This Row],[AUS]]+'Temporada 2025'!K46</f>
        <v>14</v>
      </c>
      <c r="E37">
        <f>Tabela2[[#This Row],[CHI]]+'Temporada 2025'!L46</f>
        <v>15</v>
      </c>
      <c r="F37">
        <f>Tabela2[[#This Row],[JAP]]+'Temporada 2025'!M46</f>
        <v>20</v>
      </c>
      <c r="G37">
        <f>Tabela2[[#This Row],[BAH]]+'Temporada 2025'!N46</f>
        <v>20</v>
      </c>
      <c r="H37">
        <f>Tabela2[[#This Row],[SAL]]+'Temporada 2025'!O46</f>
        <v>20</v>
      </c>
      <c r="I37">
        <f>Tabela2[[#This Row],[MIA]]+'Temporada 2025'!P46</f>
        <v>20</v>
      </c>
      <c r="J37">
        <f>Tabela2[[#This Row],[EMI]]+'Temporada 2025'!Q46</f>
        <v>26</v>
      </c>
      <c r="K37">
        <f>Tabela2[[#This Row],[MON]]+'Temporada 2025'!R46</f>
        <v>26</v>
      </c>
      <c r="L37">
        <f>Tabela2[[#This Row],[ESP]]+'Temporada 2025'!S46</f>
        <v>28</v>
      </c>
      <c r="M37">
        <f>Tabela2[[#This Row],[CAN]]+'Temporada 2025'!T46</f>
        <v>29</v>
      </c>
      <c r="N37">
        <f>Tabela2[[#This Row],[AUT]]+'Temporada 2025'!U46</f>
        <v>29</v>
      </c>
      <c r="O37">
        <f>Tabela2[[#This Row],[ING]]+'Temporada 2025'!V46</f>
        <v>35</v>
      </c>
      <c r="P37">
        <f>Tabela2[[#This Row],[BEL]]+'Temporada 2025'!W46</f>
        <v>35</v>
      </c>
      <c r="Q37">
        <f>Tabela2[[#This Row],[HUN]]+'Temporada 2025'!X46</f>
        <v>44</v>
      </c>
      <c r="R37">
        <f>Tabela2[[#This Row],[HOL]]+'Temporada 2025'!Y46</f>
        <v>44</v>
      </c>
      <c r="S37">
        <f>Tabela2[[#This Row],[ITA]]+'Temporada 2025'!Z46</f>
        <v>44</v>
      </c>
      <c r="T37">
        <f>Tabela2[[#This Row],[AZE]]+'Temporada 2025'!AA46</f>
        <v>46</v>
      </c>
      <c r="U37">
        <f>Tabela2[[#This Row],[SIN]]+'Temporada 2025'!AB46</f>
        <v>48</v>
      </c>
      <c r="V37">
        <f>Tabela2[[#This Row],[USA]]+'Temporada 2025'!AC46</f>
        <v>62</v>
      </c>
      <c r="W37">
        <f>Tabela2[[#This Row],[MEX]]+'Temporada 2025'!AD46</f>
        <v>70</v>
      </c>
      <c r="X37">
        <f>Tabela2[[#This Row],[SÃO]]+'Temporada 2025'!AE46</f>
        <v>73</v>
      </c>
      <c r="Y37">
        <f>Tabela2[[#This Row],[VEG]]+'Temporada 2025'!AF46</f>
        <v>73</v>
      </c>
      <c r="Z37">
        <f>Tabela2[[#This Row],[QAT]]+'Temporada 2025'!AG46</f>
        <v>73</v>
      </c>
    </row>
    <row r="38" spans="1:26" x14ac:dyDescent="0.2">
      <c r="A38">
        <f>'Temporada 2025'!B47</f>
        <v>9</v>
      </c>
      <c r="B38" t="str">
        <f>'Temporada 2025'!C47</f>
        <v>Kick Sauber</v>
      </c>
      <c r="C38">
        <f>'Temporada 2025'!J47</f>
        <v>6</v>
      </c>
      <c r="D38">
        <f>Tabela2[[#This Row],[AUS]]+'Temporada 2025'!K47</f>
        <v>6</v>
      </c>
      <c r="E38">
        <f>Tabela2[[#This Row],[CHI]]+'Temporada 2025'!L47</f>
        <v>6</v>
      </c>
      <c r="F38">
        <f>Tabela2[[#This Row],[JAP]]+'Temporada 2025'!M47</f>
        <v>6</v>
      </c>
      <c r="G38">
        <f>Tabela2[[#This Row],[BAH]]+'Temporada 2025'!N47</f>
        <v>6</v>
      </c>
      <c r="H38">
        <f>Tabela2[[#This Row],[SAL]]+'Temporada 2025'!O47</f>
        <v>6</v>
      </c>
      <c r="I38">
        <f>Tabela2[[#This Row],[MIA]]+'Temporada 2025'!P47</f>
        <v>6</v>
      </c>
      <c r="J38">
        <f>Tabela2[[#This Row],[EMI]]+'Temporada 2025'!Q47</f>
        <v>6</v>
      </c>
      <c r="K38">
        <f>Tabela2[[#This Row],[MON]]+'Temporada 2025'!R47</f>
        <v>16</v>
      </c>
      <c r="L38">
        <f>Tabela2[[#This Row],[ESP]]+'Temporada 2025'!S47</f>
        <v>20</v>
      </c>
      <c r="M38">
        <f>Tabela2[[#This Row],[CAN]]+'Temporada 2025'!T47</f>
        <v>26</v>
      </c>
      <c r="N38">
        <f>Tabela2[[#This Row],[AUT]]+'Temporada 2025'!U47</f>
        <v>41</v>
      </c>
      <c r="O38">
        <f>Tabela2[[#This Row],[ING]]+'Temporada 2025'!V47</f>
        <v>43</v>
      </c>
      <c r="P38">
        <f>Tabela2[[#This Row],[BEL]]+'Temporada 2025'!W47</f>
        <v>51</v>
      </c>
      <c r="Q38">
        <f>Tabela2[[#This Row],[HUN]]+'Temporada 2025'!X47</f>
        <v>51</v>
      </c>
      <c r="R38">
        <f>Tabela2[[#This Row],[HOL]]+'Temporada 2025'!Y47</f>
        <v>55</v>
      </c>
      <c r="S38">
        <f>Tabela2[[#This Row],[ITA]]+'Temporada 2025'!Z47</f>
        <v>55</v>
      </c>
      <c r="T38">
        <f>Tabela2[[#This Row],[AZE]]+'Temporada 2025'!AA47</f>
        <v>55</v>
      </c>
      <c r="U38">
        <f>Tabela2[[#This Row],[SIN]]+'Temporada 2025'!AB47</f>
        <v>59</v>
      </c>
      <c r="V38">
        <f>Tabela2[[#This Row],[USA]]+'Temporada 2025'!AC47</f>
        <v>60</v>
      </c>
      <c r="W38">
        <f>Tabela2[[#This Row],[MEX]]+'Temporada 2025'!AD47</f>
        <v>62</v>
      </c>
      <c r="X38">
        <f>Tabela2[[#This Row],[SÃO]]+'Temporada 2025'!AE47</f>
        <v>68</v>
      </c>
      <c r="Y38">
        <f>Tabela2[[#This Row],[VEG]]+'Temporada 2025'!AF47</f>
        <v>68</v>
      </c>
      <c r="Z38">
        <f>Tabela2[[#This Row],[QAT]]+'Temporada 2025'!AG47</f>
        <v>68</v>
      </c>
    </row>
    <row r="39" spans="1:26" x14ac:dyDescent="0.2">
      <c r="A39">
        <f>'Temporada 2025'!B48</f>
        <v>10</v>
      </c>
      <c r="B39" t="str">
        <f>'Temporada 2025'!C48</f>
        <v>Alpine</v>
      </c>
      <c r="C39">
        <f>'Temporada 2025'!J48</f>
        <v>0</v>
      </c>
      <c r="D39">
        <f>Tabela2[[#This Row],[AUS]]+'Temporada 2025'!K48</f>
        <v>0</v>
      </c>
      <c r="E39">
        <f>Tabela2[[#This Row],[CHI]]+'Temporada 2025'!L48</f>
        <v>0</v>
      </c>
      <c r="F39">
        <f>Tabela2[[#This Row],[JAP]]+'Temporada 2025'!M48</f>
        <v>6</v>
      </c>
      <c r="G39">
        <f>Tabela2[[#This Row],[BAH]]+'Temporada 2025'!N48</f>
        <v>6</v>
      </c>
      <c r="H39">
        <f>Tabela2[[#This Row],[SAL]]+'Temporada 2025'!O48</f>
        <v>7</v>
      </c>
      <c r="I39">
        <f>Tabela2[[#This Row],[MIA]]+'Temporada 2025'!P48</f>
        <v>7</v>
      </c>
      <c r="J39">
        <f>Tabela2[[#This Row],[EMI]]+'Temporada 2025'!Q48</f>
        <v>7</v>
      </c>
      <c r="K39">
        <f>Tabela2[[#This Row],[MON]]+'Temporada 2025'!R48</f>
        <v>11</v>
      </c>
      <c r="L39">
        <f>Tabela2[[#This Row],[ESP]]+'Temporada 2025'!S48</f>
        <v>11</v>
      </c>
      <c r="M39">
        <f>Tabela2[[#This Row],[CAN]]+'Temporada 2025'!T48</f>
        <v>11</v>
      </c>
      <c r="N39">
        <f>Tabela2[[#This Row],[AUT]]+'Temporada 2025'!U48</f>
        <v>19</v>
      </c>
      <c r="O39">
        <f>Tabela2[[#This Row],[ING]]+'Temporada 2025'!V48</f>
        <v>20</v>
      </c>
      <c r="P39">
        <f>Tabela2[[#This Row],[BEL]]+'Temporada 2025'!W48</f>
        <v>20</v>
      </c>
      <c r="Q39">
        <f>Tabela2[[#This Row],[HUN]]+'Temporada 2025'!X48</f>
        <v>20</v>
      </c>
      <c r="R39">
        <f>Tabela2[[#This Row],[HOL]]+'Temporada 2025'!Y48</f>
        <v>20</v>
      </c>
      <c r="S39">
        <f>Tabela2[[#This Row],[ITA]]+'Temporada 2025'!Z48</f>
        <v>20</v>
      </c>
      <c r="T39">
        <f>Tabela2[[#This Row],[AZE]]+'Temporada 2025'!AA48</f>
        <v>20</v>
      </c>
      <c r="U39">
        <f>Tabela2[[#This Row],[SIN]]+'Temporada 2025'!AB48</f>
        <v>20</v>
      </c>
      <c r="V39">
        <f>Tabela2[[#This Row],[USA]]+'Temporada 2025'!AC48</f>
        <v>20</v>
      </c>
      <c r="W39">
        <f>Tabela2[[#This Row],[MEX]]+'Temporada 2025'!AD48</f>
        <v>22</v>
      </c>
      <c r="X39">
        <f>Tabela2[[#This Row],[SÃO]]+'Temporada 2025'!AE48</f>
        <v>22</v>
      </c>
      <c r="Y39">
        <f>Tabela2[[#This Row],[VEG]]+'Temporada 2025'!AF48</f>
        <v>22</v>
      </c>
      <c r="Z39">
        <f>Tabela2[[#This Row],[QAT]]+'Temporada 2025'!AG48</f>
        <v>22</v>
      </c>
    </row>
    <row r="40" spans="1:26" hidden="1" x14ac:dyDescent="0.2">
      <c r="A40" t="str">
        <f>'Temporada 2025'!B49</f>
        <v/>
      </c>
      <c r="B40" t="str">
        <f>'Temporada 2025'!C49</f>
        <v/>
      </c>
      <c r="C40" t="str">
        <f>'Temporada 2025'!J49</f>
        <v/>
      </c>
      <c r="D40" t="e">
        <f>Tabela2[[#This Row],[AUS]]+'Temporada 2025'!K49</f>
        <v>#VALUE!</v>
      </c>
      <c r="E40" t="e">
        <f>Tabela2[[#This Row],[CHI]]+'Temporada 2025'!L49</f>
        <v>#VALUE!</v>
      </c>
      <c r="F40" t="e">
        <f>Tabela2[[#This Row],[JAP]]+'Temporada 2025'!M49</f>
        <v>#VALUE!</v>
      </c>
      <c r="G40" t="e">
        <f>Tabela2[[#This Row],[BAH]]+'Temporada 2025'!N49</f>
        <v>#VALUE!</v>
      </c>
      <c r="H40" t="e">
        <f>Tabela2[[#This Row],[SAL]]+'Temporada 2025'!O49</f>
        <v>#VALUE!</v>
      </c>
      <c r="I40" t="e">
        <f>Tabela2[[#This Row],[MIA]]+'Temporada 2025'!P49</f>
        <v>#VALUE!</v>
      </c>
      <c r="J40" t="e">
        <f>Tabela2[[#This Row],[EMI]]+'Temporada 2025'!Q49</f>
        <v>#VALUE!</v>
      </c>
      <c r="K40" t="e">
        <f>Tabela2[[#This Row],[MON]]+'Temporada 2025'!R49</f>
        <v>#VALUE!</v>
      </c>
      <c r="L40" t="e">
        <f>Tabela2[[#This Row],[ESP]]+'Temporada 2025'!S49</f>
        <v>#VALUE!</v>
      </c>
      <c r="M40" t="e">
        <f>Tabela2[[#This Row],[CAN]]+'Temporada 2025'!T49</f>
        <v>#VALUE!</v>
      </c>
      <c r="N40" t="e">
        <f>Tabela2[[#This Row],[AUT]]+'Temporada 2025'!U49</f>
        <v>#VALUE!</v>
      </c>
      <c r="O40" t="e">
        <f>Tabela2[[#This Row],[ING]]+'Temporada 2025'!V49</f>
        <v>#VALUE!</v>
      </c>
      <c r="P40" t="e">
        <f>Tabela2[[#This Row],[BEL]]+'Temporada 2025'!W49</f>
        <v>#VALUE!</v>
      </c>
      <c r="Q40" t="e">
        <f>Tabela2[[#This Row],[HUN]]+'Temporada 2025'!X49</f>
        <v>#VALUE!</v>
      </c>
      <c r="R40" t="e">
        <f>Tabela2[[#This Row],[HOL]]+'Temporada 2025'!Y49</f>
        <v>#VALUE!</v>
      </c>
      <c r="S40" t="e">
        <f>Tabela2[[#This Row],[ITA]]+'Temporada 2025'!Z49</f>
        <v>#VALUE!</v>
      </c>
      <c r="T40" t="e">
        <f>Tabela2[[#This Row],[AZE]]+'Temporada 2025'!AA49</f>
        <v>#VALUE!</v>
      </c>
      <c r="U40" t="e">
        <f>Tabela2[[#This Row],[SIN]]+'Temporada 2025'!AB49</f>
        <v>#VALUE!</v>
      </c>
      <c r="V40" t="e">
        <f>Tabela2[[#This Row],[USA]]+'Temporada 2025'!AC49</f>
        <v>#VALUE!</v>
      </c>
      <c r="W40" t="e">
        <f>Tabela2[[#This Row],[MEX]]+'Temporada 2025'!AD49</f>
        <v>#VALUE!</v>
      </c>
      <c r="X40" t="e">
        <f>Tabela2[[#This Row],[SÃO]]+'Temporada 2025'!AE49</f>
        <v>#VALUE!</v>
      </c>
      <c r="Y40" t="e">
        <f>Tabela2[[#This Row],[VEG]]+'Temporada 2025'!AF49</f>
        <v>#VALUE!</v>
      </c>
      <c r="Z40" t="e">
        <f>Tabela2[[#This Row],[QAT]]+'Temporada 2025'!AG49</f>
        <v>#VALUE!</v>
      </c>
    </row>
    <row r="41" spans="1:26" hidden="1" x14ac:dyDescent="0.2">
      <c r="A41" t="str">
        <f>'Temporada 2025'!B50</f>
        <v/>
      </c>
      <c r="B41" t="str">
        <f>'Temporada 2025'!C50</f>
        <v/>
      </c>
      <c r="C41" t="str">
        <f>'Temporada 2025'!J50</f>
        <v/>
      </c>
      <c r="D41" t="e">
        <f>Tabela2[[#This Row],[AUS]]+'Temporada 2025'!K50</f>
        <v>#VALUE!</v>
      </c>
      <c r="E41" t="e">
        <f>Tabela2[[#This Row],[CHI]]+'Temporada 2025'!L50</f>
        <v>#VALUE!</v>
      </c>
      <c r="F41" t="e">
        <f>Tabela2[[#This Row],[JAP]]+'Temporada 2025'!M50</f>
        <v>#VALUE!</v>
      </c>
      <c r="G41" t="e">
        <f>Tabela2[[#This Row],[BAH]]+'Temporada 2025'!N50</f>
        <v>#VALUE!</v>
      </c>
      <c r="H41" t="e">
        <f>Tabela2[[#This Row],[SAL]]+'Temporada 2025'!O50</f>
        <v>#VALUE!</v>
      </c>
      <c r="I41" t="e">
        <f>Tabela2[[#This Row],[MIA]]+'Temporada 2025'!P50</f>
        <v>#VALUE!</v>
      </c>
      <c r="J41" t="e">
        <f>Tabela2[[#This Row],[EMI]]+'Temporada 2025'!Q50</f>
        <v>#VALUE!</v>
      </c>
      <c r="K41" t="e">
        <f>Tabela2[[#This Row],[MON]]+'Temporada 2025'!R50</f>
        <v>#VALUE!</v>
      </c>
      <c r="L41" t="e">
        <f>Tabela2[[#This Row],[ESP]]+'Temporada 2025'!S50</f>
        <v>#VALUE!</v>
      </c>
      <c r="M41" t="e">
        <f>Tabela2[[#This Row],[CAN]]+'Temporada 2025'!T50</f>
        <v>#VALUE!</v>
      </c>
      <c r="N41" t="e">
        <f>Tabela2[[#This Row],[AUT]]+'Temporada 2025'!U50</f>
        <v>#VALUE!</v>
      </c>
      <c r="O41" t="e">
        <f>Tabela2[[#This Row],[ING]]+'Temporada 2025'!V50</f>
        <v>#VALUE!</v>
      </c>
      <c r="P41" t="e">
        <f>Tabela2[[#This Row],[BEL]]+'Temporada 2025'!W50</f>
        <v>#VALUE!</v>
      </c>
      <c r="Q41" t="e">
        <f>Tabela2[[#This Row],[HUN]]+'Temporada 2025'!X50</f>
        <v>#VALUE!</v>
      </c>
      <c r="R41" t="e">
        <f>Tabela2[[#This Row],[HOL]]+'Temporada 2025'!Y50</f>
        <v>#VALUE!</v>
      </c>
      <c r="S41" t="e">
        <f>Tabela2[[#This Row],[ITA]]+'Temporada 2025'!Z50</f>
        <v>#VALUE!</v>
      </c>
      <c r="T41" t="e">
        <f>Tabela2[[#This Row],[AZE]]+'Temporada 2025'!AA50</f>
        <v>#VALUE!</v>
      </c>
      <c r="U41" t="e">
        <f>Tabela2[[#This Row],[SIN]]+'Temporada 2025'!AB50</f>
        <v>#VALUE!</v>
      </c>
      <c r="V41" t="e">
        <f>Tabela2[[#This Row],[USA]]+'Temporada 2025'!AC50</f>
        <v>#VALUE!</v>
      </c>
      <c r="W41" t="e">
        <f>Tabela2[[#This Row],[MEX]]+'Temporada 2025'!AD50</f>
        <v>#VALUE!</v>
      </c>
      <c r="X41" t="e">
        <f>Tabela2[[#This Row],[SÃO]]+'Temporada 2025'!AE50</f>
        <v>#VALUE!</v>
      </c>
      <c r="Y41" t="e">
        <f>Tabela2[[#This Row],[VEG]]+'Temporada 2025'!AF50</f>
        <v>#VALUE!</v>
      </c>
      <c r="Z41" t="e">
        <f>Tabela2[[#This Row],[QAT]]+'Temporada 2025'!AG50</f>
        <v>#VALUE!</v>
      </c>
    </row>
    <row r="42" spans="1:26" hidden="1" x14ac:dyDescent="0.2">
      <c r="A42" t="str">
        <f>'Temporada 2025'!B51</f>
        <v/>
      </c>
      <c r="B42" t="str">
        <f>'Temporada 2025'!C51</f>
        <v/>
      </c>
      <c r="C42" t="str">
        <f>'Temporada 2025'!J51</f>
        <v/>
      </c>
      <c r="D42" t="e">
        <f>Tabela2[[#This Row],[AUS]]+'Temporada 2025'!K51</f>
        <v>#VALUE!</v>
      </c>
      <c r="E42" t="e">
        <f>Tabela2[[#This Row],[CHI]]+'Temporada 2025'!L51</f>
        <v>#VALUE!</v>
      </c>
      <c r="F42" t="e">
        <f>Tabela2[[#This Row],[JAP]]+'Temporada 2025'!M51</f>
        <v>#VALUE!</v>
      </c>
      <c r="G42" t="e">
        <f>Tabela2[[#This Row],[BAH]]+'Temporada 2025'!N51</f>
        <v>#VALUE!</v>
      </c>
      <c r="H42" t="e">
        <f>Tabela2[[#This Row],[SAL]]+'Temporada 2025'!O51</f>
        <v>#VALUE!</v>
      </c>
      <c r="I42" t="e">
        <f>Tabela2[[#This Row],[MIA]]+'Temporada 2025'!P51</f>
        <v>#VALUE!</v>
      </c>
      <c r="J42" t="e">
        <f>Tabela2[[#This Row],[EMI]]+'Temporada 2025'!Q51</f>
        <v>#VALUE!</v>
      </c>
      <c r="K42" t="e">
        <f>Tabela2[[#This Row],[MON]]+'Temporada 2025'!R51</f>
        <v>#VALUE!</v>
      </c>
      <c r="L42" t="e">
        <f>Tabela2[[#This Row],[ESP]]+'Temporada 2025'!S51</f>
        <v>#VALUE!</v>
      </c>
      <c r="M42" t="e">
        <f>Tabela2[[#This Row],[CAN]]+'Temporada 2025'!T51</f>
        <v>#VALUE!</v>
      </c>
      <c r="N42" t="e">
        <f>Tabela2[[#This Row],[AUT]]+'Temporada 2025'!U51</f>
        <v>#VALUE!</v>
      </c>
      <c r="O42" t="e">
        <f>Tabela2[[#This Row],[ING]]+'Temporada 2025'!V51</f>
        <v>#VALUE!</v>
      </c>
      <c r="P42" t="e">
        <f>Tabela2[[#This Row],[BEL]]+'Temporada 2025'!W51</f>
        <v>#VALUE!</v>
      </c>
      <c r="Q42" t="e">
        <f>Tabela2[[#This Row],[HUN]]+'Temporada 2025'!X51</f>
        <v>#VALUE!</v>
      </c>
      <c r="R42" t="e">
        <f>Tabela2[[#This Row],[HOL]]+'Temporada 2025'!Y51</f>
        <v>#VALUE!</v>
      </c>
      <c r="S42" t="e">
        <f>Tabela2[[#This Row],[ITA]]+'Temporada 2025'!Z51</f>
        <v>#VALUE!</v>
      </c>
      <c r="T42" t="e">
        <f>Tabela2[[#This Row],[AZE]]+'Temporada 2025'!AA51</f>
        <v>#VALUE!</v>
      </c>
      <c r="U42" t="e">
        <f>Tabela2[[#This Row],[SIN]]+'Temporada 2025'!AB51</f>
        <v>#VALUE!</v>
      </c>
      <c r="V42" t="e">
        <f>Tabela2[[#This Row],[USA]]+'Temporada 2025'!AC51</f>
        <v>#VALUE!</v>
      </c>
      <c r="W42" t="e">
        <f>Tabela2[[#This Row],[MEX]]+'Temporada 2025'!AD51</f>
        <v>#VALUE!</v>
      </c>
      <c r="X42" t="e">
        <f>Tabela2[[#This Row],[SÃO]]+'Temporada 2025'!AE51</f>
        <v>#VALUE!</v>
      </c>
      <c r="Y42" t="e">
        <f>Tabela2[[#This Row],[VEG]]+'Temporada 2025'!AF51</f>
        <v>#VALUE!</v>
      </c>
      <c r="Z42" t="e">
        <f>Tabela2[[#This Row],[QAT]]+'Temporada 2025'!AG51</f>
        <v>#VALUE!</v>
      </c>
    </row>
    <row r="43" spans="1:26" x14ac:dyDescent="0.2">
      <c r="A43">
        <f>'Temporada 2025'!B52</f>
        <v>0</v>
      </c>
      <c r="B43" t="s">
        <v>430</v>
      </c>
      <c r="C43" s="142">
        <f>Tabela2[[#This Row],[ABU]]</f>
        <v>757</v>
      </c>
      <c r="D43" s="142">
        <f>Tabela2[[#This Row],[AUS]]</f>
        <v>757</v>
      </c>
      <c r="E43" s="142">
        <f>Tabela2[[#This Row],[CHI]]</f>
        <v>757</v>
      </c>
      <c r="F43" s="142">
        <f>Tabela2[[#This Row],[JAP]]</f>
        <v>757</v>
      </c>
      <c r="G43" s="142">
        <f>Tabela2[[#This Row],[BAH]]</f>
        <v>757</v>
      </c>
      <c r="H43" s="142">
        <f>Tabela2[[#This Row],[SAL]]</f>
        <v>757</v>
      </c>
      <c r="I43" s="142">
        <f>Tabela2[[#This Row],[MIA]]</f>
        <v>757</v>
      </c>
      <c r="J43" s="142">
        <f>Tabela2[[#This Row],[EMI]]</f>
        <v>757</v>
      </c>
      <c r="K43" s="142">
        <f>Tabela2[[#This Row],[MON]]</f>
        <v>757</v>
      </c>
      <c r="L43" s="142">
        <f>Tabela2[[#This Row],[ESP]]</f>
        <v>757</v>
      </c>
      <c r="M43" s="142">
        <f>Tabela2[[#This Row],[CAN]]</f>
        <v>757</v>
      </c>
      <c r="N43" s="142">
        <f>Tabela2[[#This Row],[AUT]]</f>
        <v>757</v>
      </c>
      <c r="O43" s="142">
        <f>Tabela2[[#This Row],[ING]]</f>
        <v>757</v>
      </c>
      <c r="P43" s="142">
        <f>Tabela2[[#This Row],[BEL]]</f>
        <v>757</v>
      </c>
      <c r="Q43" s="142">
        <f>Tabela2[[#This Row],[HUN]]</f>
        <v>757</v>
      </c>
      <c r="R43" s="142">
        <f>Tabela2[[#This Row],[HOL]]</f>
        <v>757</v>
      </c>
      <c r="S43" s="142">
        <f>Tabela2[[#This Row],[ITA]]</f>
        <v>757</v>
      </c>
      <c r="T43" s="142">
        <f>Tabela2[[#This Row],[AZE]]</f>
        <v>757</v>
      </c>
      <c r="U43" s="142">
        <f>Tabela2[[#This Row],[SIN]]</f>
        <v>757</v>
      </c>
      <c r="V43" s="142">
        <f>Tabela2[[#This Row],[USA]]</f>
        <v>757</v>
      </c>
      <c r="W43" s="142">
        <f>Tabela2[[#This Row],[MEX]]</f>
        <v>757</v>
      </c>
      <c r="X43" s="142">
        <f>Tabela2[[#This Row],[SÃO]]</f>
        <v>757</v>
      </c>
      <c r="Y43" s="142">
        <f>Tabela2[[#This Row],[VEG]]</f>
        <v>757</v>
      </c>
      <c r="Z43">
        <f>IF(Z30-Resultados!$L$35&lt;0,0,Z30-Resultados!$L$35)</f>
        <v>757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9" tint="-0.499984740745262"/>
  </sheetPr>
  <dimension ref="A1:AP59"/>
  <sheetViews>
    <sheetView showGridLines="0" showRowColHeaders="0" tabSelected="1" zoomScaleNormal="100" workbookViewId="0">
      <selection activeCell="R13" sqref="R13"/>
    </sheetView>
  </sheetViews>
  <sheetFormatPr defaultRowHeight="12.75" x14ac:dyDescent="0.2"/>
  <cols>
    <col min="1" max="1" width="1.7109375" style="12" customWidth="1"/>
    <col min="2" max="2" width="4.7109375" style="13" customWidth="1"/>
    <col min="3" max="3" width="22.140625" style="12" customWidth="1"/>
    <col min="4" max="4" width="12.5703125" style="13" bestFit="1" customWidth="1"/>
    <col min="5" max="5" width="16.7109375" style="13" customWidth="1"/>
    <col min="6" max="6" width="2.85546875" style="13" customWidth="1"/>
    <col min="7" max="8" width="6.42578125" style="13" customWidth="1"/>
    <col min="9" max="9" width="5.42578125" style="12" bestFit="1" customWidth="1"/>
    <col min="10" max="28" width="3.7109375" style="12" customWidth="1"/>
    <col min="29" max="29" width="3.85546875" style="12" bestFit="1" customWidth="1"/>
    <col min="30" max="33" width="3.85546875" style="12" customWidth="1"/>
    <col min="34" max="16384" width="9.140625" style="12"/>
  </cols>
  <sheetData>
    <row r="1" spans="1:42" x14ac:dyDescent="0.2">
      <c r="B1" s="12"/>
      <c r="D1" s="12"/>
      <c r="E1" s="12"/>
      <c r="F1" s="12"/>
      <c r="G1" s="12"/>
      <c r="H1" s="12"/>
    </row>
    <row r="2" spans="1:42" ht="12.75" customHeight="1" x14ac:dyDescent="0.2">
      <c r="B2" s="147" t="s">
        <v>323</v>
      </c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</row>
    <row r="3" spans="1:42" ht="12.75" customHeight="1" x14ac:dyDescent="0.2"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</row>
    <row r="4" spans="1:42" s="16" customFormat="1" ht="16.5" customHeight="1" x14ac:dyDescent="0.2">
      <c r="A4" s="12"/>
      <c r="B4" s="31"/>
      <c r="C4" s="32"/>
      <c r="D4"/>
      <c r="E4"/>
      <c r="F4"/>
      <c r="G4" s="31"/>
      <c r="H4" s="139"/>
      <c r="I4"/>
      <c r="J4" s="32"/>
      <c r="K4" s="32"/>
      <c r="L4" s="32"/>
      <c r="M4" s="33"/>
      <c r="N4"/>
      <c r="O4" s="32"/>
      <c r="P4" s="33"/>
      <c r="Q4" s="32"/>
      <c r="R4" s="32"/>
      <c r="S4" s="32"/>
      <c r="T4" s="32"/>
      <c r="U4" s="32"/>
      <c r="V4" s="32"/>
      <c r="W4" s="32"/>
      <c r="X4" s="32"/>
      <c r="Y4" s="32"/>
      <c r="Z4" s="34"/>
      <c r="AA4" s="32"/>
      <c r="AB4" s="32"/>
      <c r="AC4" s="32"/>
      <c r="AD4" s="133"/>
      <c r="AE4" s="133"/>
      <c r="AF4" s="133"/>
      <c r="AG4" s="133"/>
      <c r="AP4" s="17"/>
    </row>
    <row r="5" spans="1:42" s="16" customFormat="1" ht="17.25" customHeight="1" x14ac:dyDescent="0.2">
      <c r="A5" s="12"/>
      <c r="B5" s="148" t="s">
        <v>395</v>
      </c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</row>
    <row r="6" spans="1:42" x14ac:dyDescent="0.2">
      <c r="B6" s="145" t="s">
        <v>249</v>
      </c>
      <c r="C6" s="145" t="s">
        <v>29</v>
      </c>
      <c r="D6" s="145" t="s">
        <v>16</v>
      </c>
      <c r="E6" s="145" t="s">
        <v>17</v>
      </c>
      <c r="F6" s="145" t="s">
        <v>250</v>
      </c>
      <c r="G6" s="145" t="s">
        <v>251</v>
      </c>
      <c r="H6" s="145" t="s">
        <v>405</v>
      </c>
      <c r="I6" s="145" t="s">
        <v>258</v>
      </c>
      <c r="J6" s="146" t="s">
        <v>236</v>
      </c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  <c r="AD6" s="146"/>
      <c r="AE6" s="146"/>
      <c r="AF6" s="146"/>
      <c r="AG6" s="146"/>
      <c r="AJ6" s="16"/>
    </row>
    <row r="7" spans="1:42" x14ac:dyDescent="0.2">
      <c r="B7" s="145"/>
      <c r="C7" s="145"/>
      <c r="D7" s="145"/>
      <c r="E7" s="145"/>
      <c r="F7" s="145"/>
      <c r="G7" s="145"/>
      <c r="H7" s="145"/>
      <c r="I7" s="145"/>
      <c r="J7" s="27">
        <v>1</v>
      </c>
      <c r="K7" s="138">
        <v>2</v>
      </c>
      <c r="L7" s="27">
        <v>3</v>
      </c>
      <c r="M7" s="27">
        <v>4</v>
      </c>
      <c r="N7" s="27">
        <v>5</v>
      </c>
      <c r="O7" s="138">
        <v>6</v>
      </c>
      <c r="P7" s="27">
        <v>7</v>
      </c>
      <c r="Q7" s="27">
        <v>8</v>
      </c>
      <c r="R7" s="27">
        <v>9</v>
      </c>
      <c r="S7" s="27">
        <v>10</v>
      </c>
      <c r="T7" s="27">
        <v>11</v>
      </c>
      <c r="U7" s="27">
        <v>12</v>
      </c>
      <c r="V7" s="138">
        <v>13</v>
      </c>
      <c r="W7" s="27">
        <v>14</v>
      </c>
      <c r="X7" s="27">
        <v>15</v>
      </c>
      <c r="Y7" s="27">
        <v>16</v>
      </c>
      <c r="Z7" s="27">
        <v>17</v>
      </c>
      <c r="AA7" s="27">
        <v>18</v>
      </c>
      <c r="AB7" s="138">
        <v>19</v>
      </c>
      <c r="AC7" s="27">
        <v>20</v>
      </c>
      <c r="AD7" s="138">
        <v>21</v>
      </c>
      <c r="AE7" s="27">
        <v>22</v>
      </c>
      <c r="AF7" s="138">
        <v>23</v>
      </c>
      <c r="AG7" s="27">
        <v>24</v>
      </c>
    </row>
    <row r="8" spans="1:42" x14ac:dyDescent="0.2">
      <c r="B8" s="25">
        <f>IF('Equipes e Pilotos'!B3&lt;&gt;"",'Equipes e Pilotos'!B3,"")</f>
        <v>1</v>
      </c>
      <c r="C8" s="24" t="str">
        <f>VLOOKUP(B8,'Dummy Table'!$A$3:$B$30,2,FALSE)</f>
        <v>Lando Norris</v>
      </c>
      <c r="D8" s="28" t="str">
        <f>VLOOKUP(B8,'Dummy Table'!$A$3:$C$30,3,FALSE)</f>
        <v>Inglaterra</v>
      </c>
      <c r="E8" s="28" t="str">
        <f>VLOOKUP(B8,'Dummy Table'!$A$3:$D$30,4,FALSE)</f>
        <v>McLaren 🏆</v>
      </c>
      <c r="F8" s="29" t="str">
        <f>IF(C8&lt;&gt;"",IF(G8+Resultados!$K$35&gt;$G$8,"J","L"),"")</f>
        <v>J</v>
      </c>
      <c r="G8" s="137">
        <f>VLOOKUP(B8,'Dummy Table'!$A$3:$E$30,5,FALSE)</f>
        <v>408</v>
      </c>
      <c r="H8" s="28"/>
      <c r="I8" s="30">
        <f>IF(B8="","",SUMIF(Resultados!$M$3:$M$30,C8,Resultados!$O$3:$O$30))</f>
        <v>7</v>
      </c>
      <c r="J8" s="23">
        <f>IF(C8&lt;&gt;"",SUMIF(Resultados!$C$4:$C$29,'Temporada 2025'!C8,Resultados!$F$4:$F$29),"")</f>
        <v>25</v>
      </c>
      <c r="K8" s="23">
        <f>IF(C8&lt;&gt;"",SUMIF(Resultados!$C$33:$C$81,'Temporada 2025'!C8,Resultados!$F$33:$F$81),"")</f>
        <v>19</v>
      </c>
      <c r="L8" s="23">
        <f>IF(C8&lt;&gt;"",SUMIF(Resultados!$C$84:$C$109,'Temporada 2025'!C8,Resultados!$F$84:$F$109),"")</f>
        <v>18</v>
      </c>
      <c r="M8" s="23">
        <f>IF(C8&lt;&gt;"",SUMIF(Resultados!$C$112:$C$137,'Temporada 2025'!C8,Resultados!$F$112:$F$137),"")</f>
        <v>15</v>
      </c>
      <c r="N8" s="23">
        <f>IF(C8&lt;&gt;"",SUMIF(Resultados!$C$140:$C$165,'Temporada 2025'!C8,Resultados!$F$140:$F$165),"")</f>
        <v>12</v>
      </c>
      <c r="O8" s="23">
        <f>IF(C8&lt;&gt;"",SUMIF(Resultados!$C$169:$C$217,'Temporada 2025'!C8,Resultados!$F$169:$F$217),"")</f>
        <v>26</v>
      </c>
      <c r="P8" s="23">
        <f>IF(C8&lt;&gt;"",SUMIF(Resultados!$C$220:$C$245,'Temporada 2025'!C8,Resultados!$F$220:$F$245),"")</f>
        <v>18</v>
      </c>
      <c r="Q8" s="23">
        <f>IF(C8&lt;&gt;"",SUMIF(Resultados!$C$248:$C$273,'Temporada 2025'!C8,Resultados!$F$248:$F$273),"")</f>
        <v>25</v>
      </c>
      <c r="R8" s="23">
        <f>IF(C8&lt;&gt;"",SUMIF(Resultados!$C$276:$C$301,'Temporada 2025'!C8,Resultados!$F$276:$F$301),"")</f>
        <v>18</v>
      </c>
      <c r="S8" s="23">
        <f>IF(C8&lt;&gt;"",SUMIF(Resultados!$C$304:$C$329,'Temporada 2025'!C8,Resultados!$F$304:$F$329),"")</f>
        <v>0</v>
      </c>
      <c r="T8" s="23">
        <f>IF(C8&lt;&gt;"",SUMIF(Resultados!$C$332:$C$357,'Temporada 2025'!C8,Resultados!$F$332:$F$357),"")</f>
        <v>25</v>
      </c>
      <c r="U8" s="23">
        <f>IF(C8&lt;&gt;"",SUMIF(Resultados!$C$360:$C$385,'Temporada 2025'!C8,Resultados!$F$360:$F$385),"")</f>
        <v>25</v>
      </c>
      <c r="V8" s="23">
        <f>IF(C8&lt;&gt;"",SUMIF(Resultados!$C$389:$C$437,'Temporada 2025'!C8,Resultados!$F$389:$F$437),"")</f>
        <v>24</v>
      </c>
      <c r="W8" s="23">
        <f>IF(C8&lt;&gt;"",SUMIF(Resultados!$C$440:$C$465,'Temporada 2025'!C8,Resultados!$F$440:$F$465),"")</f>
        <v>25</v>
      </c>
      <c r="X8" s="23">
        <f>IF(C8&lt;&gt;"",SUMIF(Resultados!$C$468:$C$493,'Temporada 2025'!C8,Resultados!$F$468:$F$493),"")</f>
        <v>0</v>
      </c>
      <c r="Y8" s="23">
        <f>IF(C8&lt;&gt;"",SUMIF(Resultados!$C$496:$C$521,'Temporada 2025'!C8,Resultados!$F$496:$F$521),"")</f>
        <v>18</v>
      </c>
      <c r="Z8" s="23">
        <f>IF(C8&lt;&gt;"",SUMIF(Resultados!$C$524:$C$549,'Temporada 2025'!C8,Resultados!$F$524:$F$549),"")</f>
        <v>6</v>
      </c>
      <c r="AA8" s="23">
        <f>IF(C8&lt;&gt;"",SUMIF(Resultados!$C$552:$C$577,'Temporada 2025'!C8,Resultados!$F$552:$F$577),"")</f>
        <v>15</v>
      </c>
      <c r="AB8" s="23">
        <f>IF(C8&lt;&gt;"",SUMIF(Resultados!$C$581:$C$629,'Temporada 2025'!C8,Resultados!$F$581:$F$629),"")</f>
        <v>18</v>
      </c>
      <c r="AC8" s="23">
        <f>IF(C8&lt;&gt;"",SUMIF(Resultados!$C$632:$C$657,'Temporada 2025'!C8,Resultados!$F$632:$F$657),"")</f>
        <v>25</v>
      </c>
      <c r="AD8" s="23">
        <f>IF(C8&lt;&gt;"",SUMIF(Resultados!$C$661:$C$709,'Temporada 2025'!C8,Resultados!$F$661:$F$709),"")</f>
        <v>33</v>
      </c>
      <c r="AE8" s="23">
        <f>IF(C8&lt;&gt;"",SUMIF(Resultados!$C$712:$C$737,'Temporada 2025'!C8,Resultados!$F$712:$F$737),"")</f>
        <v>0</v>
      </c>
      <c r="AF8" s="23">
        <f>IF(C8&lt;&gt;"",SUMIF(Resultados!$C$741:$C$789,'Temporada 2025'!C8,Resultados!$F$741:$F$789),"")</f>
        <v>18</v>
      </c>
      <c r="AG8" s="23">
        <f>IF(C8&lt;&gt;"",SUMIF(Resultados!$C$792:$C$817,'Temporada 2025'!C8,Resultados!$F$792:$F$817),"")</f>
        <v>0</v>
      </c>
    </row>
    <row r="9" spans="1:42" x14ac:dyDescent="0.2">
      <c r="B9" s="26">
        <f>IF('Equipes e Pilotos'!B4&lt;&gt;"",'Equipes e Pilotos'!B4,"")</f>
        <v>2</v>
      </c>
      <c r="C9" s="24" t="str">
        <f>VLOOKUP(B9,'Dummy Table'!$A$3:$B$30,2,FALSE)</f>
        <v>Max Verstappen</v>
      </c>
      <c r="D9" s="28" t="str">
        <f>VLOOKUP(B9,'Dummy Table'!$A$3:$C$30,3,FALSE)</f>
        <v>Holanda</v>
      </c>
      <c r="E9" s="28" t="str">
        <f>VLOOKUP(B9,'Dummy Table'!$A$3:$D$30,4,FALSE)</f>
        <v>Red Bull</v>
      </c>
      <c r="F9" s="29" t="str">
        <f>IF(C9&lt;&gt;"",IF(G9+Resultados!$K$35&gt;$G$8,"J","L"),"")</f>
        <v>J</v>
      </c>
      <c r="G9" s="137">
        <f>VLOOKUP(B9,'Dummy Table'!$A$3:$E$30,5,FALSE)</f>
        <v>396</v>
      </c>
      <c r="H9" s="28">
        <f>IF(C9&lt;&gt;"",G9-G$8,"")</f>
        <v>-12</v>
      </c>
      <c r="I9" s="30">
        <f>IF(B9="","",SUMIF(Resultados!$M$3:$M$30,C9,Resultados!$O$3:$O$30))</f>
        <v>7</v>
      </c>
      <c r="J9" s="23">
        <f>IF(C9&lt;&gt;"",SUMIF(Resultados!$C$4:$C$29,'Temporada 2025'!C9,Resultados!$F$4:$F$29),"")</f>
        <v>18</v>
      </c>
      <c r="K9" s="23">
        <f>IF(C9&lt;&gt;"",SUMIF(Resultados!$C$33:$C$81,'Temporada 2025'!C9,Resultados!$F$33:$F$81),"")</f>
        <v>18</v>
      </c>
      <c r="L9" s="23">
        <f>IF(C9&lt;&gt;"",SUMIF(Resultados!$C$84:$C$109,'Temporada 2025'!C9,Resultados!$F$84:$F$109),"")</f>
        <v>25</v>
      </c>
      <c r="M9" s="23">
        <f>IF(C9&lt;&gt;"",SUMIF(Resultados!$C$112:$C$137,'Temporada 2025'!C9,Resultados!$F$112:$F$137),"")</f>
        <v>8</v>
      </c>
      <c r="N9" s="23">
        <f>IF(C9&lt;&gt;"",SUMIF(Resultados!$C$140:$C$165,'Temporada 2025'!C9,Resultados!$F$140:$F$165),"")</f>
        <v>18</v>
      </c>
      <c r="O9" s="23">
        <f>IF(C9&lt;&gt;"",SUMIF(Resultados!$C$169:$C$217,'Temporada 2025'!C9,Resultados!$F$169:$F$217),"")</f>
        <v>12</v>
      </c>
      <c r="P9" s="23">
        <f>IF(C9&lt;&gt;"",SUMIF(Resultados!$C$220:$C$245,'Temporada 2025'!C9,Resultados!$F$220:$F$245),"")</f>
        <v>25</v>
      </c>
      <c r="Q9" s="23">
        <f>IF(C9&lt;&gt;"",SUMIF(Resultados!$C$248:$C$273,'Temporada 2025'!C9,Resultados!$F$248:$F$273),"")</f>
        <v>12</v>
      </c>
      <c r="R9" s="23">
        <f>IF(C9&lt;&gt;"",SUMIF(Resultados!$C$276:$C$301,'Temporada 2025'!C9,Resultados!$F$276:$F$301),"")</f>
        <v>1</v>
      </c>
      <c r="S9" s="23">
        <f>IF(C9&lt;&gt;"",SUMIF(Resultados!$C$304:$C$329,'Temporada 2025'!C9,Resultados!$F$304:$F$329),"")</f>
        <v>18</v>
      </c>
      <c r="T9" s="23">
        <f>IF(C9&lt;&gt;"",SUMIF(Resultados!$C$332:$C$357,'Temporada 2025'!C9,Resultados!$F$332:$F$357),"")</f>
        <v>0</v>
      </c>
      <c r="U9" s="23">
        <f>IF(C9&lt;&gt;"",SUMIF(Resultados!$C$360:$C$385,'Temporada 2025'!C9,Resultados!$F$360:$F$385),"")</f>
        <v>10</v>
      </c>
      <c r="V9" s="23">
        <f>IF(C9&lt;&gt;"",SUMIF(Resultados!$C$389:$C$437,'Temporada 2025'!C9,Resultados!$F$389:$F$437),"")</f>
        <v>20</v>
      </c>
      <c r="W9" s="23">
        <f>IF(C9&lt;&gt;"",SUMIF(Resultados!$C$440:$C$465,'Temporada 2025'!C9,Resultados!$F$440:$F$465),"")</f>
        <v>2</v>
      </c>
      <c r="X9" s="23">
        <f>IF(C9&lt;&gt;"",SUMIF(Resultados!$C$468:$C$493,'Temporada 2025'!C9,Resultados!$F$468:$F$493),"")</f>
        <v>18</v>
      </c>
      <c r="Y9" s="23">
        <f>IF(C9&lt;&gt;"",SUMIF(Resultados!$C$496:$C$521,'Temporada 2025'!C9,Resultados!$F$496:$F$521),"")</f>
        <v>25</v>
      </c>
      <c r="Z9" s="23">
        <f>IF(C9&lt;&gt;"",SUMIF(Resultados!$C$524:$C$549,'Temporada 2025'!C9,Resultados!$F$524:$F$549),"")</f>
        <v>25</v>
      </c>
      <c r="AA9" s="23">
        <f>IF(C9&lt;&gt;"",SUMIF(Resultados!$C$552:$C$577,'Temporada 2025'!C9,Resultados!$F$552:$F$577),"")</f>
        <v>18</v>
      </c>
      <c r="AB9" s="23">
        <f>IF(C9&lt;&gt;"",SUMIF(Resultados!$C$581:$C$629,'Temporada 2025'!C9,Resultados!$F$581:$F$629),"")</f>
        <v>33</v>
      </c>
      <c r="AC9" s="23">
        <f>IF(C9&lt;&gt;"",SUMIF(Resultados!$C$632:$C$657,'Temporada 2025'!C9,Resultados!$F$632:$F$657),"")</f>
        <v>15</v>
      </c>
      <c r="AD9" s="23">
        <f>IF(C9&lt;&gt;"",SUMIF(Resultados!$C$661:$C$709,'Temporada 2025'!C9,Resultados!$F$661:$F$709),"")</f>
        <v>20</v>
      </c>
      <c r="AE9" s="23">
        <f>IF(C9&lt;&gt;"",SUMIF(Resultados!$C$712:$C$737,'Temporada 2025'!C9,Resultados!$F$712:$F$737),"")</f>
        <v>25</v>
      </c>
      <c r="AF9" s="23">
        <f>IF(C9&lt;&gt;"",SUMIF(Resultados!$C$741:$C$789,'Temporada 2025'!C9,Resultados!$F$741:$F$789),"")</f>
        <v>30</v>
      </c>
      <c r="AG9" s="23">
        <f>IF(C9&lt;&gt;"",SUMIF(Resultados!$C$792:$C$817,'Temporada 2025'!C9,Resultados!$F$792:$F$817),"")</f>
        <v>0</v>
      </c>
    </row>
    <row r="10" spans="1:42" x14ac:dyDescent="0.2">
      <c r="B10" s="26">
        <f>IF('Equipes e Pilotos'!B5&lt;&gt;"",'Equipes e Pilotos'!B5,"")</f>
        <v>3</v>
      </c>
      <c r="C10" s="24" t="str">
        <f>VLOOKUP(B10,'Dummy Table'!$A$3:$B$30,2,FALSE)</f>
        <v>Oscar Piastri</v>
      </c>
      <c r="D10" s="28" t="str">
        <f>VLOOKUP(B10,'Dummy Table'!$A$3:$C$30,3,FALSE)</f>
        <v>Austrália</v>
      </c>
      <c r="E10" s="28" t="str">
        <f>VLOOKUP(B10,'Dummy Table'!$A$3:$D$30,4,FALSE)</f>
        <v>McLaren 🏆</v>
      </c>
      <c r="F10" s="29" t="str">
        <f>IF(C10&lt;&gt;"",IF(G10+Resultados!$K$35&gt;$G$8,"J","L"),"")</f>
        <v>J</v>
      </c>
      <c r="G10" s="137">
        <f>VLOOKUP(B10,'Dummy Table'!$A$3:$E$30,5,FALSE)</f>
        <v>392</v>
      </c>
      <c r="H10" s="28">
        <f t="shared" ref="H10:H31" si="0">IF(C10&lt;&gt;"",G10-G$8,"")</f>
        <v>-16</v>
      </c>
      <c r="I10" s="30">
        <f>IF(B10="","",SUMIF(Resultados!$M$3:$M$30,C10,Resultados!$O$3:$O$30))</f>
        <v>7</v>
      </c>
      <c r="J10" s="23">
        <f>IF(C10&lt;&gt;"",SUMIF(Resultados!$C$4:$C$29,'Temporada 2025'!C10,Resultados!$F$4:$F$29),"")</f>
        <v>2</v>
      </c>
      <c r="K10" s="23">
        <f>IF(C10&lt;&gt;"",SUMIF(Resultados!$C$33:$C$81,'Temporada 2025'!C10,Resultados!$F$33:$F$81),"")</f>
        <v>32</v>
      </c>
      <c r="L10" s="23">
        <f>IF(C10&lt;&gt;"",SUMIF(Resultados!$C$84:$C$109,'Temporada 2025'!C10,Resultados!$F$84:$F$109),"")</f>
        <v>15</v>
      </c>
      <c r="M10" s="23">
        <f>IF(C10&lt;&gt;"",SUMIF(Resultados!$C$112:$C$137,'Temporada 2025'!C10,Resultados!$F$112:$F$137),"")</f>
        <v>25</v>
      </c>
      <c r="N10" s="23">
        <f>IF(C10&lt;&gt;"",SUMIF(Resultados!$C$140:$C$165,'Temporada 2025'!C10,Resultados!$F$140:$F$165),"")</f>
        <v>25</v>
      </c>
      <c r="O10" s="23">
        <f>IF(C10&lt;&gt;"",SUMIF(Resultados!$C$169:$C$217,'Temporada 2025'!C10,Resultados!$F$169:$F$217),"")</f>
        <v>32</v>
      </c>
      <c r="P10" s="23">
        <f>IF(C10&lt;&gt;"",SUMIF(Resultados!$C$220:$C$245,'Temporada 2025'!C10,Resultados!$F$220:$F$245),"")</f>
        <v>15</v>
      </c>
      <c r="Q10" s="23">
        <f>IF(C10&lt;&gt;"",SUMIF(Resultados!$C$248:$C$273,'Temporada 2025'!C10,Resultados!$F$248:$F$273),"")</f>
        <v>15</v>
      </c>
      <c r="R10" s="23">
        <f>IF(C10&lt;&gt;"",SUMIF(Resultados!$C$276:$C$301,'Temporada 2025'!C10,Resultados!$F$276:$F$301),"")</f>
        <v>25</v>
      </c>
      <c r="S10" s="23">
        <f>IF(C10&lt;&gt;"",SUMIF(Resultados!$C$304:$C$329,'Temporada 2025'!C10,Resultados!$F$304:$F$329),"")</f>
        <v>12</v>
      </c>
      <c r="T10" s="23">
        <f>IF(C10&lt;&gt;"",SUMIF(Resultados!$C$332:$C$357,'Temporada 2025'!C10,Resultados!$F$332:$F$357),"")</f>
        <v>18</v>
      </c>
      <c r="U10" s="23">
        <f>IF(C10&lt;&gt;"",SUMIF(Resultados!$C$360:$C$385,'Temporada 2025'!C10,Resultados!$F$360:$F$385),"")</f>
        <v>18</v>
      </c>
      <c r="V10" s="23">
        <f>IF(C10&lt;&gt;"",SUMIF(Resultados!$C$389:$C$437,'Temporada 2025'!C10,Resultados!$F$389:$F$437),"")</f>
        <v>32</v>
      </c>
      <c r="W10" s="23">
        <f>IF(C10&lt;&gt;"",SUMIF(Resultados!$C$440:$C$465,'Temporada 2025'!C10,Resultados!$F$440:$F$465),"")</f>
        <v>18</v>
      </c>
      <c r="X10" s="23">
        <f>IF(C10&lt;&gt;"",SUMIF(Resultados!$C$468:$C$493,'Temporada 2025'!C10,Resultados!$F$468:$F$493),"")</f>
        <v>25</v>
      </c>
      <c r="Y10" s="23">
        <f>IF(C10&lt;&gt;"",SUMIF(Resultados!$C$496:$C$521,'Temporada 2025'!C10,Resultados!$F$496:$F$521),"")</f>
        <v>15</v>
      </c>
      <c r="Z10" s="23">
        <f>IF(C10&lt;&gt;"",SUMIF(Resultados!$C$524:$C$549,'Temporada 2025'!C10,Resultados!$F$524:$F$549),"")</f>
        <v>0</v>
      </c>
      <c r="AA10" s="23">
        <f>IF(C10&lt;&gt;"",SUMIF(Resultados!$C$552:$C$577,'Temporada 2025'!C10,Resultados!$F$552:$F$577),"")</f>
        <v>12</v>
      </c>
      <c r="AB10" s="23">
        <f>IF(C10&lt;&gt;"",SUMIF(Resultados!$C$581:$C$629,'Temporada 2025'!C10,Resultados!$F$581:$F$629),"")</f>
        <v>10</v>
      </c>
      <c r="AC10" s="23">
        <f>IF(C10&lt;&gt;"",SUMIF(Resultados!$C$632:$C$657,'Temporada 2025'!C10,Resultados!$F$632:$F$657),"")</f>
        <v>10</v>
      </c>
      <c r="AD10" s="23">
        <f>IF(C10&lt;&gt;"",SUMIF(Resultados!$C$661:$C$709,'Temporada 2025'!C10,Resultados!$F$661:$F$709),"")</f>
        <v>10</v>
      </c>
      <c r="AE10" s="23">
        <f>IF(C10&lt;&gt;"",SUMIF(Resultados!$C$712:$C$737,'Temporada 2025'!C10,Resultados!$F$712:$F$737),"")</f>
        <v>0</v>
      </c>
      <c r="AF10" s="23">
        <f>IF(C10&lt;&gt;"",SUMIF(Resultados!$C$741:$C$789,'Temporada 2025'!C10,Resultados!$F$741:$F$789),"")</f>
        <v>26</v>
      </c>
      <c r="AG10" s="23">
        <f>IF(C10&lt;&gt;"",SUMIF(Resultados!$C$792:$C$817,'Temporada 2025'!C10,Resultados!$F$792:$F$817),"")</f>
        <v>0</v>
      </c>
    </row>
    <row r="11" spans="1:42" x14ac:dyDescent="0.2">
      <c r="B11" s="26">
        <f>IF('Equipes e Pilotos'!B6&lt;&gt;"",'Equipes e Pilotos'!B6,"")</f>
        <v>4</v>
      </c>
      <c r="C11" s="24" t="str">
        <f>VLOOKUP(B11,'Dummy Table'!$A$3:$B$30,2,FALSE)</f>
        <v>George Russell</v>
      </c>
      <c r="D11" s="28" t="str">
        <f>VLOOKUP(B11,'Dummy Table'!$A$3:$C$30,3,FALSE)</f>
        <v>Inglaterra</v>
      </c>
      <c r="E11" s="28" t="str">
        <f>VLOOKUP(B11,'Dummy Table'!$A$3:$D$30,4,FALSE)</f>
        <v>Mercedes</v>
      </c>
      <c r="F11" s="29" t="str">
        <f>IF(C11&lt;&gt;"",IF(G11+Resultados!$K$35&gt;$G$8,"J","L"),"")</f>
        <v>L</v>
      </c>
      <c r="G11" s="137">
        <f>VLOOKUP(B11,'Dummy Table'!$A$3:$E$30,5,FALSE)</f>
        <v>309</v>
      </c>
      <c r="H11" s="28">
        <f t="shared" si="0"/>
        <v>-99</v>
      </c>
      <c r="I11" s="30">
        <f>IF(B11="","",SUMIF(Resultados!$M$3:$M$30,C11,Resultados!$O$3:$O$30))</f>
        <v>2</v>
      </c>
      <c r="J11" s="23">
        <f>IF(C11&lt;&gt;"",SUMIF(Resultados!$C$4:$C$29,'Temporada 2025'!C11,Resultados!$F$4:$F$29),"")</f>
        <v>15</v>
      </c>
      <c r="K11" s="23">
        <f>IF(C11&lt;&gt;"",SUMIF(Resultados!$C$33:$C$81,'Temporada 2025'!C11,Resultados!$F$33:$F$81),"")</f>
        <v>20</v>
      </c>
      <c r="L11" s="23">
        <f>IF(C11&lt;&gt;"",SUMIF(Resultados!$C$84:$C$109,'Temporada 2025'!C11,Resultados!$F$84:$F$109),"")</f>
        <v>10</v>
      </c>
      <c r="M11" s="23">
        <f>IF(C11&lt;&gt;"",SUMIF(Resultados!$C$112:$C$137,'Temporada 2025'!C11,Resultados!$F$112:$F$137),"")</f>
        <v>18</v>
      </c>
      <c r="N11" s="23">
        <f>IF(C11&lt;&gt;"",SUMIF(Resultados!$C$140:$C$165,'Temporada 2025'!C11,Resultados!$F$140:$F$165),"")</f>
        <v>10</v>
      </c>
      <c r="O11" s="23">
        <f>IF(C11&lt;&gt;"",SUMIF(Resultados!$C$169:$C$217,'Temporada 2025'!C11,Resultados!$F$169:$F$217),"")</f>
        <v>20</v>
      </c>
      <c r="P11" s="23">
        <f>IF(C11&lt;&gt;"",SUMIF(Resultados!$C$220:$C$245,'Temporada 2025'!C11,Resultados!$F$220:$F$245),"")</f>
        <v>6</v>
      </c>
      <c r="Q11" s="23">
        <f>IF(C11&lt;&gt;"",SUMIF(Resultados!$C$248:$C$273,'Temporada 2025'!C11,Resultados!$F$248:$F$273),"")</f>
        <v>0</v>
      </c>
      <c r="R11" s="23">
        <f>IF(C11&lt;&gt;"",SUMIF(Resultados!$C$276:$C$301,'Temporada 2025'!C11,Resultados!$F$276:$F$301),"")</f>
        <v>12</v>
      </c>
      <c r="S11" s="23">
        <f>IF(C11&lt;&gt;"",SUMIF(Resultados!$C$304:$C$329,'Temporada 2025'!C11,Resultados!$F$304:$F$329),"")</f>
        <v>25</v>
      </c>
      <c r="T11" s="23">
        <f>IF(C11&lt;&gt;"",SUMIF(Resultados!$C$332:$C$357,'Temporada 2025'!C11,Resultados!$F$332:$F$357),"")</f>
        <v>10</v>
      </c>
      <c r="U11" s="23">
        <f>IF(C11&lt;&gt;"",SUMIF(Resultados!$C$360:$C$385,'Temporada 2025'!C11,Resultados!$F$360:$F$385),"")</f>
        <v>1</v>
      </c>
      <c r="V11" s="23">
        <f>IF(C11&lt;&gt;"",SUMIF(Resultados!$C$389:$C$437,'Temporada 2025'!C11,Resultados!$F$389:$F$437),"")</f>
        <v>10</v>
      </c>
      <c r="W11" s="23">
        <f>IF(C11&lt;&gt;"",SUMIF(Resultados!$C$440:$C$465,'Temporada 2025'!C11,Resultados!$F$440:$F$465),"")</f>
        <v>15</v>
      </c>
      <c r="X11" s="23">
        <f>IF(C11&lt;&gt;"",SUMIF(Resultados!$C$468:$C$493,'Temporada 2025'!C11,Resultados!$F$468:$F$493),"")</f>
        <v>12</v>
      </c>
      <c r="Y11" s="23">
        <f>IF(C11&lt;&gt;"",SUMIF(Resultados!$C$496:$C$521,'Temporada 2025'!C11,Resultados!$F$496:$F$521),"")</f>
        <v>10</v>
      </c>
      <c r="Z11" s="23">
        <f>IF(C11&lt;&gt;"",SUMIF(Resultados!$C$524:$C$549,'Temporada 2025'!C11,Resultados!$F$524:$F$549),"")</f>
        <v>18</v>
      </c>
      <c r="AA11" s="23">
        <f>IF(C11&lt;&gt;"",SUMIF(Resultados!$C$552:$C$577,'Temporada 2025'!C11,Resultados!$F$552:$F$577),"")</f>
        <v>25</v>
      </c>
      <c r="AB11" s="23">
        <f>IF(C11&lt;&gt;"",SUMIF(Resultados!$C$581:$C$629,'Temporada 2025'!C11,Resultados!$F$581:$F$629),"")</f>
        <v>15</v>
      </c>
      <c r="AC11" s="23">
        <f>IF(C11&lt;&gt;"",SUMIF(Resultados!$C$632:$C$657,'Temporada 2025'!C11,Resultados!$F$632:$F$657),"")</f>
        <v>6</v>
      </c>
      <c r="AD11" s="23">
        <f>IF(C11&lt;&gt;"",SUMIF(Resultados!$C$661:$C$709,'Temporada 2025'!C11,Resultados!$F$661:$F$709),"")</f>
        <v>18</v>
      </c>
      <c r="AE11" s="23">
        <f>IF(C11&lt;&gt;"",SUMIF(Resultados!$C$712:$C$737,'Temporada 2025'!C11,Resultados!$F$712:$F$737),"")</f>
        <v>18</v>
      </c>
      <c r="AF11" s="23">
        <f>IF(C11&lt;&gt;"",SUMIF(Resultados!$C$741:$C$789,'Temporada 2025'!C11,Resultados!$F$741:$F$789),"")</f>
        <v>15</v>
      </c>
      <c r="AG11" s="23">
        <f>IF(C11&lt;&gt;"",SUMIF(Resultados!$C$792:$C$817,'Temporada 2025'!C11,Resultados!$F$792:$F$817),"")</f>
        <v>0</v>
      </c>
    </row>
    <row r="12" spans="1:42" x14ac:dyDescent="0.2">
      <c r="B12" s="26">
        <f>IF('Equipes e Pilotos'!B7&lt;&gt;"",'Equipes e Pilotos'!B7,"")</f>
        <v>5</v>
      </c>
      <c r="C12" s="24" t="str">
        <f>VLOOKUP(B12,'Dummy Table'!$A$3:$B$30,2,FALSE)</f>
        <v>Charles Leclerc</v>
      </c>
      <c r="D12" s="28" t="str">
        <f>VLOOKUP(B12,'Dummy Table'!$A$3:$C$30,3,FALSE)</f>
        <v>Mônaco</v>
      </c>
      <c r="E12" s="28" t="str">
        <f>VLOOKUP(B12,'Dummy Table'!$A$3:$D$30,4,FALSE)</f>
        <v>Ferrari</v>
      </c>
      <c r="F12" s="29" t="str">
        <f>IF(C12&lt;&gt;"",IF(G12+Resultados!$K$35&gt;$G$8,"J","L"),"")</f>
        <v>L</v>
      </c>
      <c r="G12" s="137">
        <f>VLOOKUP(B12,'Dummy Table'!$A$3:$E$30,5,FALSE)</f>
        <v>230</v>
      </c>
      <c r="H12" s="28">
        <f t="shared" si="0"/>
        <v>-178</v>
      </c>
      <c r="I12" s="30">
        <f>IF(B12="","",SUMIF(Resultados!$M$3:$M$30,C12,Resultados!$O$3:$O$30))</f>
        <v>0</v>
      </c>
      <c r="J12" s="23">
        <f>IF(C12&lt;&gt;"",SUMIF(Resultados!$C$4:$C$29,'Temporada 2025'!C12,Resultados!$F$4:$F$29),"")</f>
        <v>4</v>
      </c>
      <c r="K12" s="23">
        <f>IF(C12&lt;&gt;"",SUMIF(Resultados!$C$33:$C$81,'Temporada 2025'!C12,Resultados!$F$33:$F$81),"")</f>
        <v>4</v>
      </c>
      <c r="L12" s="23">
        <f>IF(C12&lt;&gt;"",SUMIF(Resultados!$C$84:$C$109,'Temporada 2025'!C12,Resultados!$F$84:$F$109),"")</f>
        <v>12</v>
      </c>
      <c r="M12" s="23">
        <f>IF(C12&lt;&gt;"",SUMIF(Resultados!$C$112:$C$137,'Temporada 2025'!C12,Resultados!$F$112:$F$137),"")</f>
        <v>12</v>
      </c>
      <c r="N12" s="23">
        <f>IF(C12&lt;&gt;"",SUMIF(Resultados!$C$140:$C$165,'Temporada 2025'!C12,Resultados!$F$140:$F$165),"")</f>
        <v>15</v>
      </c>
      <c r="O12" s="23">
        <f>IF(C12&lt;&gt;"",SUMIF(Resultados!$C$169:$C$217,'Temporada 2025'!C12,Resultados!$F$169:$F$217),"")</f>
        <v>6</v>
      </c>
      <c r="P12" s="23">
        <f>IF(C12&lt;&gt;"",SUMIF(Resultados!$C$220:$C$245,'Temporada 2025'!C12,Resultados!$F$220:$F$245),"")</f>
        <v>8</v>
      </c>
      <c r="Q12" s="23">
        <f>IF(C12&lt;&gt;"",SUMIF(Resultados!$C$248:$C$273,'Temporada 2025'!C12,Resultados!$F$248:$F$273),"")</f>
        <v>18</v>
      </c>
      <c r="R12" s="23">
        <f>IF(C12&lt;&gt;"",SUMIF(Resultados!$C$276:$C$301,'Temporada 2025'!C12,Resultados!$F$276:$F$301),"")</f>
        <v>15</v>
      </c>
      <c r="S12" s="23">
        <f>IF(C12&lt;&gt;"",SUMIF(Resultados!$C$304:$C$329,'Temporada 2025'!C12,Resultados!$F$304:$F$329),"")</f>
        <v>10</v>
      </c>
      <c r="T12" s="23">
        <f>IF(C12&lt;&gt;"",SUMIF(Resultados!$C$332:$C$357,'Temporada 2025'!C12,Resultados!$F$332:$F$357),"")</f>
        <v>15</v>
      </c>
      <c r="U12" s="23">
        <f>IF(C12&lt;&gt;"",SUMIF(Resultados!$C$360:$C$385,'Temporada 2025'!C12,Resultados!$F$360:$F$385),"")</f>
        <v>0</v>
      </c>
      <c r="V12" s="23">
        <f>IF(C12&lt;&gt;"",SUMIF(Resultados!$C$389:$C$437,'Temporada 2025'!C12,Resultados!$F$389:$F$437),"")</f>
        <v>20</v>
      </c>
      <c r="W12" s="23">
        <f>IF(C12&lt;&gt;"",SUMIF(Resultados!$C$440:$C$465,'Temporada 2025'!C12,Resultados!$F$440:$F$465),"")</f>
        <v>12</v>
      </c>
      <c r="X12" s="23">
        <f>IF(C12&lt;&gt;"",SUMIF(Resultados!$C$468:$C$493,'Temporada 2025'!C12,Resultados!$F$468:$F$493),"")</f>
        <v>0</v>
      </c>
      <c r="Y12" s="23">
        <f>IF(C12&lt;&gt;"",SUMIF(Resultados!$C$496:$C$521,'Temporada 2025'!C12,Resultados!$F$496:$F$521),"")</f>
        <v>12</v>
      </c>
      <c r="Z12" s="23">
        <f>IF(C12&lt;&gt;"",SUMIF(Resultados!$C$524:$C$549,'Temporada 2025'!C12,Resultados!$F$524:$F$549),"")</f>
        <v>2</v>
      </c>
      <c r="AA12" s="23">
        <f>IF(C12&lt;&gt;"",SUMIF(Resultados!$C$552:$C$577,'Temporada 2025'!C12,Resultados!$F$552:$F$577),"")</f>
        <v>8</v>
      </c>
      <c r="AB12" s="23">
        <f>IF(C12&lt;&gt;"",SUMIF(Resultados!$C$581:$C$629,'Temporada 2025'!C12,Resultados!$F$581:$F$629),"")</f>
        <v>19</v>
      </c>
      <c r="AC12" s="23">
        <f>IF(C12&lt;&gt;"",SUMIF(Resultados!$C$632:$C$657,'Temporada 2025'!C12,Resultados!$F$632:$F$657),"")</f>
        <v>18</v>
      </c>
      <c r="AD12" s="23">
        <f>IF(C12&lt;&gt;"",SUMIF(Resultados!$C$661:$C$709,'Temporada 2025'!C12,Resultados!$F$661:$F$709),"")</f>
        <v>4</v>
      </c>
      <c r="AE12" s="23">
        <f>IF(C12&lt;&gt;"",SUMIF(Resultados!$C$712:$C$737,'Temporada 2025'!C12,Resultados!$F$712:$F$737),"")</f>
        <v>12</v>
      </c>
      <c r="AF12" s="23">
        <f>IF(C12&lt;&gt;"",SUMIF(Resultados!$C$741:$C$789,'Temporada 2025'!C12,Resultados!$F$741:$F$789),"")</f>
        <v>4</v>
      </c>
      <c r="AG12" s="23">
        <f>IF(C12&lt;&gt;"",SUMIF(Resultados!$C$792:$C$817,'Temporada 2025'!C12,Resultados!$F$792:$F$817),"")</f>
        <v>0</v>
      </c>
    </row>
    <row r="13" spans="1:42" x14ac:dyDescent="0.2">
      <c r="B13" s="26">
        <f>IF('Equipes e Pilotos'!B8&lt;&gt;"",'Equipes e Pilotos'!B8,"")</f>
        <v>6</v>
      </c>
      <c r="C13" s="24" t="str">
        <f>VLOOKUP(B13,'Dummy Table'!$A$3:$B$30,2,FALSE)</f>
        <v>Lewis Hamilton</v>
      </c>
      <c r="D13" s="28" t="str">
        <f>VLOOKUP(B13,'Dummy Table'!$A$3:$C$30,3,FALSE)</f>
        <v>Inglaterra</v>
      </c>
      <c r="E13" s="28" t="str">
        <f>VLOOKUP(B13,'Dummy Table'!$A$3:$D$30,4,FALSE)</f>
        <v>Ferrari</v>
      </c>
      <c r="F13" s="29" t="str">
        <f>IF(C13&lt;&gt;"",IF(G13+Resultados!$K$35&gt;$G$8,"J","L"),"")</f>
        <v>L</v>
      </c>
      <c r="G13" s="137">
        <f>VLOOKUP(B13,'Dummy Table'!$A$3:$E$30,5,FALSE)</f>
        <v>152</v>
      </c>
      <c r="H13" s="28">
        <f t="shared" si="0"/>
        <v>-256</v>
      </c>
      <c r="I13" s="30">
        <f>IF(B13="","",SUMIF(Resultados!$M$3:$M$30,C13,Resultados!$O$3:$O$30))</f>
        <v>0</v>
      </c>
      <c r="J13" s="23">
        <f>IF(C13&lt;&gt;"",SUMIF(Resultados!$C$4:$C$29,'Temporada 2025'!C13,Resultados!$F$4:$F$29),"")</f>
        <v>1</v>
      </c>
      <c r="K13" s="23">
        <f>IF(C13&lt;&gt;"",SUMIF(Resultados!$C$33:$C$81,'Temporada 2025'!C13,Resultados!$F$33:$F$81),"")</f>
        <v>8</v>
      </c>
      <c r="L13" s="23">
        <f>IF(C13&lt;&gt;"",SUMIF(Resultados!$C$84:$C$109,'Temporada 2025'!C13,Resultados!$F$84:$F$109),"")</f>
        <v>6</v>
      </c>
      <c r="M13" s="23">
        <f>IF(C13&lt;&gt;"",SUMIF(Resultados!$C$112:$C$137,'Temporada 2025'!C13,Resultados!$F$112:$F$137),"")</f>
        <v>10</v>
      </c>
      <c r="N13" s="23">
        <f>IF(C13&lt;&gt;"",SUMIF(Resultados!$C$140:$C$165,'Temporada 2025'!C13,Resultados!$F$140:$F$165),"")</f>
        <v>6</v>
      </c>
      <c r="O13" s="23">
        <f>IF(C13&lt;&gt;"",SUMIF(Resultados!$C$169:$C$217,'Temporada 2025'!C13,Resultados!$F$169:$F$217),"")</f>
        <v>10</v>
      </c>
      <c r="P13" s="23">
        <f>IF(C13&lt;&gt;"",SUMIF(Resultados!$C$220:$C$245,'Temporada 2025'!C13,Resultados!$F$220:$F$245),"")</f>
        <v>12</v>
      </c>
      <c r="Q13" s="23">
        <f>IF(C13&lt;&gt;"",SUMIF(Resultados!$C$248:$C$273,'Temporada 2025'!C13,Resultados!$F$248:$F$273),"")</f>
        <v>10</v>
      </c>
      <c r="R13" s="23">
        <f>IF(C13&lt;&gt;"",SUMIF(Resultados!$C$276:$C$301,'Temporada 2025'!C13,Resultados!$F$276:$F$301),"")</f>
        <v>8</v>
      </c>
      <c r="S13" s="23">
        <f>IF(C13&lt;&gt;"",SUMIF(Resultados!$C$304:$C$329,'Temporada 2025'!C13,Resultados!$F$304:$F$329),"")</f>
        <v>8</v>
      </c>
      <c r="T13" s="23">
        <f>IF(C13&lt;&gt;"",SUMIF(Resultados!$C$332:$C$357,'Temporada 2025'!C13,Resultados!$F$332:$F$357),"")</f>
        <v>12</v>
      </c>
      <c r="U13" s="23">
        <f>IF(C13&lt;&gt;"",SUMIF(Resultados!$C$360:$C$385,'Temporada 2025'!C13,Resultados!$F$360:$F$385),"")</f>
        <v>12</v>
      </c>
      <c r="V13" s="23">
        <f>IF(C13&lt;&gt;"",SUMIF(Resultados!$C$389:$C$437,'Temporada 2025'!C13,Resultados!$F$389:$F$437),"")</f>
        <v>6</v>
      </c>
      <c r="W13" s="23">
        <f>IF(C13&lt;&gt;"",SUMIF(Resultados!$C$440:$C$465,'Temporada 2025'!C13,Resultados!$F$440:$F$465),"")</f>
        <v>0</v>
      </c>
      <c r="X13" s="23">
        <f>IF(C13&lt;&gt;"",SUMIF(Resultados!$C$468:$C$493,'Temporada 2025'!C13,Resultados!$F$468:$F$493),"")</f>
        <v>0</v>
      </c>
      <c r="Y13" s="23">
        <f>IF(C13&lt;&gt;"",SUMIF(Resultados!$C$496:$C$521,'Temporada 2025'!C13,Resultados!$F$496:$F$521),"")</f>
        <v>8</v>
      </c>
      <c r="Z13" s="23">
        <f>IF(C13&lt;&gt;"",SUMIF(Resultados!$C$524:$C$549,'Temporada 2025'!C13,Resultados!$F$524:$F$549),"")</f>
        <v>4</v>
      </c>
      <c r="AA13" s="23">
        <f>IF(C13&lt;&gt;"",SUMIF(Resultados!$C$552:$C$577,'Temporada 2025'!C13,Resultados!$F$552:$F$577),"")</f>
        <v>4</v>
      </c>
      <c r="AB13" s="23">
        <f>IF(C13&lt;&gt;"",SUMIF(Resultados!$C$581:$C$629,'Temporada 2025'!C13,Resultados!$F$581:$F$629),"")</f>
        <v>17</v>
      </c>
      <c r="AC13" s="23">
        <f>IF(C13&lt;&gt;"",SUMIF(Resultados!$C$632:$C$657,'Temporada 2025'!C13,Resultados!$F$632:$F$657),"")</f>
        <v>4</v>
      </c>
      <c r="AD13" s="23">
        <f>IF(C13&lt;&gt;"",SUMIF(Resultados!$C$661:$C$709,'Temporada 2025'!C13,Resultados!$F$661:$F$709),"")</f>
        <v>2</v>
      </c>
      <c r="AE13" s="23">
        <f>IF(C13&lt;&gt;"",SUMIF(Resultados!$C$712:$C$737,'Temporada 2025'!C13,Resultados!$F$712:$F$737),"")</f>
        <v>4</v>
      </c>
      <c r="AF13" s="23">
        <f>IF(C13&lt;&gt;"",SUMIF(Resultados!$C$741:$C$789,'Temporada 2025'!C13,Resultados!$F$741:$F$789),"")</f>
        <v>0</v>
      </c>
      <c r="AG13" s="23">
        <f>IF(C13&lt;&gt;"",SUMIF(Resultados!$C$792:$C$817,'Temporada 2025'!C13,Resultados!$F$792:$F$817),"")</f>
        <v>0</v>
      </c>
    </row>
    <row r="14" spans="1:42" x14ac:dyDescent="0.2">
      <c r="B14" s="26">
        <f>IF('Equipes e Pilotos'!B9&lt;&gt;"",'Equipes e Pilotos'!B9,"")</f>
        <v>7</v>
      </c>
      <c r="C14" s="24" t="str">
        <f>VLOOKUP(B14,'Dummy Table'!$A$3:$B$30,2,FALSE)</f>
        <v>Kimi Antonelli</v>
      </c>
      <c r="D14" s="28" t="str">
        <f>VLOOKUP(B14,'Dummy Table'!$A$3:$C$30,3,FALSE)</f>
        <v>Itália</v>
      </c>
      <c r="E14" s="28" t="str">
        <f>VLOOKUP(B14,'Dummy Table'!$A$3:$D$30,4,FALSE)</f>
        <v>Mercedes</v>
      </c>
      <c r="F14" s="29" t="str">
        <f>IF(C14&lt;&gt;"",IF(G14+Resultados!$K$35&gt;$G$8,"J","L"),"")</f>
        <v>L</v>
      </c>
      <c r="G14" s="137">
        <f>VLOOKUP(B14,'Dummy Table'!$A$3:$E$30,5,FALSE)</f>
        <v>150</v>
      </c>
      <c r="H14" s="28">
        <f t="shared" si="0"/>
        <v>-258</v>
      </c>
      <c r="I14" s="30">
        <f>IF(B14="","",SUMIF(Resultados!$M$3:$M$30,C14,Resultados!$O$3:$O$30))</f>
        <v>0</v>
      </c>
      <c r="J14" s="23">
        <f>IF(C14&lt;&gt;"",SUMIF(Resultados!$C$4:$C$29,'Temporada 2025'!C14,Resultados!$F$4:$F$29),"")</f>
        <v>12</v>
      </c>
      <c r="K14" s="23">
        <f>IF(C14&lt;&gt;"",SUMIF(Resultados!$C$33:$C$81,'Temporada 2025'!C14,Resultados!$F$33:$F$81),"")</f>
        <v>10</v>
      </c>
      <c r="L14" s="23">
        <f>IF(C14&lt;&gt;"",SUMIF(Resultados!$C$84:$C$109,'Temporada 2025'!C14,Resultados!$F$84:$F$109),"")</f>
        <v>8</v>
      </c>
      <c r="M14" s="23">
        <f>IF(C14&lt;&gt;"",SUMIF(Resultados!$C$112:$C$137,'Temporada 2025'!C14,Resultados!$F$112:$F$137),"")</f>
        <v>0</v>
      </c>
      <c r="N14" s="23">
        <f>IF(C14&lt;&gt;"",SUMIF(Resultados!$C$140:$C$165,'Temporada 2025'!C14,Resultados!$F$140:$F$165),"")</f>
        <v>8</v>
      </c>
      <c r="O14" s="23">
        <f>IF(C14&lt;&gt;"",SUMIF(Resultados!$C$169:$C$217,'Temporada 2025'!C14,Resultados!$F$169:$F$217),"")</f>
        <v>10</v>
      </c>
      <c r="P14" s="23">
        <f>IF(C14&lt;&gt;"",SUMIF(Resultados!$C$220:$C$245,'Temporada 2025'!C14,Resultados!$F$220:$F$245),"")</f>
        <v>0</v>
      </c>
      <c r="Q14" s="23">
        <f>IF(C14&lt;&gt;"",SUMIF(Resultados!$C$248:$C$273,'Temporada 2025'!C14,Resultados!$F$248:$F$273),"")</f>
        <v>0</v>
      </c>
      <c r="R14" s="23">
        <f>IF(C14&lt;&gt;"",SUMIF(Resultados!$C$276:$C$301,'Temporada 2025'!C14,Resultados!$F$276:$F$301),"")</f>
        <v>0</v>
      </c>
      <c r="S14" s="23">
        <f>IF(C14&lt;&gt;"",SUMIF(Resultados!$C$304:$C$329,'Temporada 2025'!C14,Resultados!$F$304:$F$329),"")</f>
        <v>15</v>
      </c>
      <c r="T14" s="23">
        <f>IF(C14&lt;&gt;"",SUMIF(Resultados!$C$332:$C$357,'Temporada 2025'!C14,Resultados!$F$332:$F$357),"")</f>
        <v>0</v>
      </c>
      <c r="U14" s="23">
        <f>IF(C14&lt;&gt;"",SUMIF(Resultados!$C$360:$C$385,'Temporada 2025'!C14,Resultados!$F$360:$F$385),"")</f>
        <v>0</v>
      </c>
      <c r="V14" s="23">
        <f>IF(C14&lt;&gt;"",SUMIF(Resultados!$C$389:$C$437,'Temporada 2025'!C14,Resultados!$F$389:$F$437),"")</f>
        <v>0</v>
      </c>
      <c r="W14" s="23">
        <f>IF(C14&lt;&gt;"",SUMIF(Resultados!$C$440:$C$465,'Temporada 2025'!C14,Resultados!$F$440:$F$465),"")</f>
        <v>1</v>
      </c>
      <c r="X14" s="23">
        <f>IF(C14&lt;&gt;"",SUMIF(Resultados!$C$468:$C$493,'Temporada 2025'!C14,Resultados!$F$468:$F$493),"")</f>
        <v>0</v>
      </c>
      <c r="Y14" s="23">
        <f>IF(C14&lt;&gt;"",SUMIF(Resultados!$C$496:$C$521,'Temporada 2025'!C14,Resultados!$F$496:$F$521),"")</f>
        <v>2</v>
      </c>
      <c r="Z14" s="23">
        <f>IF(C14&lt;&gt;"",SUMIF(Resultados!$C$524:$C$549,'Temporada 2025'!C14,Resultados!$F$524:$F$549),"")</f>
        <v>12</v>
      </c>
      <c r="AA14" s="23">
        <f>IF(C14&lt;&gt;"",SUMIF(Resultados!$C$552:$C$577,'Temporada 2025'!C14,Resultados!$F$552:$F$577),"")</f>
        <v>10</v>
      </c>
      <c r="AB14" s="23">
        <f>IF(C14&lt;&gt;"",SUMIF(Resultados!$C$581:$C$629,'Temporada 2025'!C14,Resultados!$F$581:$F$629),"")</f>
        <v>1</v>
      </c>
      <c r="AC14" s="23">
        <f>IF(C14&lt;&gt;"",SUMIF(Resultados!$C$632:$C$657,'Temporada 2025'!C14,Resultados!$F$632:$F$657),"")</f>
        <v>8</v>
      </c>
      <c r="AD14" s="23">
        <f>IF(C14&lt;&gt;"",SUMIF(Resultados!$C$661:$C$709,'Temporada 2025'!C14,Resultados!$F$661:$F$709),"")</f>
        <v>25</v>
      </c>
      <c r="AE14" s="23">
        <f>IF(C14&lt;&gt;"",SUMIF(Resultados!$C$712:$C$737,'Temporada 2025'!C14,Resultados!$F$712:$F$737),"")</f>
        <v>15</v>
      </c>
      <c r="AF14" s="23">
        <f>IF(C14&lt;&gt;"",SUMIF(Resultados!$C$741:$C$789,'Temporada 2025'!C14,Resultados!$F$741:$F$789),"")</f>
        <v>13</v>
      </c>
      <c r="AG14" s="23">
        <f>IF(C14&lt;&gt;"",SUMIF(Resultados!$C$792:$C$817,'Temporada 2025'!C14,Resultados!$F$792:$F$817),"")</f>
        <v>0</v>
      </c>
    </row>
    <row r="15" spans="1:42" x14ac:dyDescent="0.2">
      <c r="B15" s="26">
        <f>IF('Equipes e Pilotos'!B10&lt;&gt;"",'Equipes e Pilotos'!B10,"")</f>
        <v>8</v>
      </c>
      <c r="C15" s="24" t="str">
        <f>VLOOKUP(B15,'Dummy Table'!$A$3:$B$30,2,FALSE)</f>
        <v>Alexander Albon</v>
      </c>
      <c r="D15" s="28" t="str">
        <f>VLOOKUP(B15,'Dummy Table'!$A$3:$C$30,3,FALSE)</f>
        <v>Tailandia</v>
      </c>
      <c r="E15" s="28" t="str">
        <f>VLOOKUP(B15,'Dummy Table'!$A$3:$D$30,4,FALSE)</f>
        <v>Williams</v>
      </c>
      <c r="F15" s="29" t="str">
        <f>IF(C15&lt;&gt;"",IF(G15+Resultados!$K$35&gt;$G$8,"J","L"),"")</f>
        <v>L</v>
      </c>
      <c r="G15" s="137">
        <f>VLOOKUP(B15,'Dummy Table'!$A$3:$E$30,5,FALSE)</f>
        <v>73</v>
      </c>
      <c r="H15" s="28">
        <f t="shared" si="0"/>
        <v>-335</v>
      </c>
      <c r="I15" s="30">
        <f>IF(B15="","",SUMIF(Resultados!$M$3:$M$30,C15,Resultados!$O$3:$O$30))</f>
        <v>0</v>
      </c>
      <c r="J15" s="23">
        <f>IF(C15&lt;&gt;"",SUMIF(Resultados!$C$4:$C$29,'Temporada 2025'!C15,Resultados!$F$4:$F$29),"")</f>
        <v>10</v>
      </c>
      <c r="K15" s="23">
        <f>IF(C15&lt;&gt;"",SUMIF(Resultados!$C$33:$C$81,'Temporada 2025'!C15,Resultados!$F$33:$F$81),"")</f>
        <v>6</v>
      </c>
      <c r="L15" s="23">
        <f>IF(C15&lt;&gt;"",SUMIF(Resultados!$C$84:$C$109,'Temporada 2025'!C15,Resultados!$F$84:$F$109),"")</f>
        <v>2</v>
      </c>
      <c r="M15" s="23">
        <f>IF(C15&lt;&gt;"",SUMIF(Resultados!$C$112:$C$137,'Temporada 2025'!C15,Resultados!$F$112:$F$137),"")</f>
        <v>0</v>
      </c>
      <c r="N15" s="23">
        <f>IF(C15&lt;&gt;"",SUMIF(Resultados!$C$140:$C$165,'Temporada 2025'!C15,Resultados!$F$140:$F$165),"")</f>
        <v>2</v>
      </c>
      <c r="O15" s="23">
        <f>IF(C15&lt;&gt;"",SUMIF(Resultados!$C$169:$C$217,'Temporada 2025'!C15,Resultados!$F$169:$F$217),"")</f>
        <v>10</v>
      </c>
      <c r="P15" s="23">
        <f>IF(C15&lt;&gt;"",SUMIF(Resultados!$C$220:$C$245,'Temporada 2025'!C15,Resultados!$F$220:$F$245),"")</f>
        <v>10</v>
      </c>
      <c r="Q15" s="23">
        <f>IF(C15&lt;&gt;"",SUMIF(Resultados!$C$248:$C$273,'Temporada 2025'!C15,Resultados!$F$248:$F$273),"")</f>
        <v>2</v>
      </c>
      <c r="R15" s="23">
        <f>IF(C15&lt;&gt;"",SUMIF(Resultados!$C$276:$C$301,'Temporada 2025'!C15,Resultados!$F$276:$F$301),"")</f>
        <v>0</v>
      </c>
      <c r="S15" s="23">
        <f>IF(C15&lt;&gt;"",SUMIF(Resultados!$C$304:$C$329,'Temporada 2025'!C15,Resultados!$F$304:$F$329),"")</f>
        <v>0</v>
      </c>
      <c r="T15" s="23">
        <f>IF(C15&lt;&gt;"",SUMIF(Resultados!$C$332:$C$357,'Temporada 2025'!C15,Resultados!$F$332:$F$357),"")</f>
        <v>0</v>
      </c>
      <c r="U15" s="23">
        <f>IF(C15&lt;&gt;"",SUMIF(Resultados!$C$360:$C$385,'Temporada 2025'!C15,Resultados!$F$360:$F$385),"")</f>
        <v>4</v>
      </c>
      <c r="V15" s="23">
        <f>IF(C15&lt;&gt;"",SUMIF(Resultados!$C$389:$C$437,'Temporada 2025'!C15,Resultados!$F$389:$F$437),"")</f>
        <v>8</v>
      </c>
      <c r="W15" s="23">
        <f>IF(C15&lt;&gt;"",SUMIF(Resultados!$C$440:$C$465,'Temporada 2025'!C15,Resultados!$F$440:$F$465),"")</f>
        <v>0</v>
      </c>
      <c r="X15" s="23">
        <f>IF(C15&lt;&gt;"",SUMIF(Resultados!$C$468:$C$493,'Temporada 2025'!C15,Resultados!$F$468:$F$493),"")</f>
        <v>10</v>
      </c>
      <c r="Y15" s="23">
        <f>IF(C15&lt;&gt;"",SUMIF(Resultados!$C$496:$C$521,'Temporada 2025'!C15,Resultados!$F$496:$F$521),"")</f>
        <v>6</v>
      </c>
      <c r="Z15" s="23">
        <f>IF(C15&lt;&gt;"",SUMIF(Resultados!$C$524:$C$549,'Temporada 2025'!C15,Resultados!$F$524:$F$549),"")</f>
        <v>0</v>
      </c>
      <c r="AA15" s="23">
        <f>IF(C15&lt;&gt;"",SUMIF(Resultados!$C$552:$C$577,'Temporada 2025'!C15,Resultados!$F$552:$F$577),"")</f>
        <v>0</v>
      </c>
      <c r="AB15" s="23">
        <f>IF(C15&lt;&gt;"",SUMIF(Resultados!$C$581:$C$629,'Temporada 2025'!C15,Resultados!$F$581:$F$629),"")</f>
        <v>3</v>
      </c>
      <c r="AC15" s="23">
        <f>IF(C15&lt;&gt;"",SUMIF(Resultados!$C$632:$C$657,'Temporada 2025'!C15,Resultados!$F$632:$F$657),"")</f>
        <v>0</v>
      </c>
      <c r="AD15" s="23">
        <f>IF(C15&lt;&gt;"",SUMIF(Resultados!$C$661:$C$709,'Temporada 2025'!C15,Resultados!$F$661:$F$709),"")</f>
        <v>0</v>
      </c>
      <c r="AE15" s="23">
        <f>IF(C15&lt;&gt;"",SUMIF(Resultados!$C$712:$C$737,'Temporada 2025'!C15,Resultados!$F$712:$F$737),"")</f>
        <v>0</v>
      </c>
      <c r="AF15" s="23">
        <f>IF(C15&lt;&gt;"",SUMIF(Resultados!$C$741:$C$789,'Temporada 2025'!C15,Resultados!$F$741:$F$789),"")</f>
        <v>0</v>
      </c>
      <c r="AG15" s="23">
        <f>IF(C15&lt;&gt;"",SUMIF(Resultados!$C$792:$C$817,'Temporada 2025'!C15,Resultados!$F$792:$F$817),"")</f>
        <v>0</v>
      </c>
    </row>
    <row r="16" spans="1:42" x14ac:dyDescent="0.2">
      <c r="B16" s="26">
        <f>IF('Equipes e Pilotos'!B11&lt;&gt;"",'Equipes e Pilotos'!B11,"")</f>
        <v>9</v>
      </c>
      <c r="C16" s="24" t="str">
        <f>VLOOKUP(B16,'Dummy Table'!$A$3:$B$30,2,FALSE)</f>
        <v>Carlos Sainz</v>
      </c>
      <c r="D16" s="28" t="str">
        <f>VLOOKUP(B16,'Dummy Table'!$A$3:$C$30,3,FALSE)</f>
        <v>Espanha</v>
      </c>
      <c r="E16" s="28" t="str">
        <f>VLOOKUP(B16,'Dummy Table'!$A$3:$D$30,4,FALSE)</f>
        <v>Williams</v>
      </c>
      <c r="F16" s="29" t="str">
        <f>IF(C16&lt;&gt;"",IF(G16+Resultados!$K$35&gt;$G$8,"J","L"),"")</f>
        <v>L</v>
      </c>
      <c r="G16" s="137">
        <f>VLOOKUP(B16,'Dummy Table'!$A$3:$E$30,5,FALSE)</f>
        <v>64</v>
      </c>
      <c r="H16" s="28">
        <f t="shared" si="0"/>
        <v>-344</v>
      </c>
      <c r="I16" s="30">
        <f>IF(B16="","",SUMIF(Resultados!$M$3:$M$30,C16,Resultados!$O$3:$O$30))</f>
        <v>0</v>
      </c>
      <c r="J16" s="23">
        <f>IF(C16&lt;&gt;"",SUMIF(Resultados!$C$4:$C$29,'Temporada 2025'!C16,Resultados!$F$4:$F$29),"")</f>
        <v>0</v>
      </c>
      <c r="K16" s="23">
        <f>IF(C16&lt;&gt;"",SUMIF(Resultados!$C$33:$C$81,'Temporada 2025'!C16,Resultados!$F$33:$F$81),"")</f>
        <v>1</v>
      </c>
      <c r="L16" s="23">
        <f>IF(C16&lt;&gt;"",SUMIF(Resultados!$C$84:$C$109,'Temporada 2025'!C16,Resultados!$F$84:$F$109),"")</f>
        <v>0</v>
      </c>
      <c r="M16" s="23">
        <f>IF(C16&lt;&gt;"",SUMIF(Resultados!$C$112:$C$137,'Temporada 2025'!C16,Resultados!$F$112:$F$137),"")</f>
        <v>0</v>
      </c>
      <c r="N16" s="23">
        <f>IF(C16&lt;&gt;"",SUMIF(Resultados!$C$140:$C$165,'Temporada 2025'!C16,Resultados!$F$140:$F$165),"")</f>
        <v>4</v>
      </c>
      <c r="O16" s="23">
        <f>IF(C16&lt;&gt;"",SUMIF(Resultados!$C$169:$C$217,'Temporada 2025'!C16,Resultados!$F$169:$F$217),"")</f>
        <v>2</v>
      </c>
      <c r="P16" s="23">
        <f>IF(C16&lt;&gt;"",SUMIF(Resultados!$C$220:$C$245,'Temporada 2025'!C16,Resultados!$F$220:$F$245),"")</f>
        <v>4</v>
      </c>
      <c r="Q16" s="23">
        <f>IF(C16&lt;&gt;"",SUMIF(Resultados!$C$248:$C$273,'Temporada 2025'!C16,Resultados!$F$248:$F$273),"")</f>
        <v>1</v>
      </c>
      <c r="R16" s="23">
        <f>IF(C16&lt;&gt;"",SUMIF(Resultados!$C$276:$C$301,'Temporada 2025'!C16,Resultados!$F$276:$F$301),"")</f>
        <v>0</v>
      </c>
      <c r="S16" s="23">
        <f>IF(C16&lt;&gt;"",SUMIF(Resultados!$C$304:$C$329,'Temporada 2025'!C16,Resultados!$F$304:$F$329),"")</f>
        <v>1</v>
      </c>
      <c r="T16" s="23">
        <f>IF(C16&lt;&gt;"",SUMIF(Resultados!$C$332:$C$357,'Temporada 2025'!C16,Resultados!$F$332:$F$357),"")</f>
        <v>0</v>
      </c>
      <c r="U16" s="23">
        <f>IF(C16&lt;&gt;"",SUMIF(Resultados!$C$360:$C$385,'Temporada 2025'!C16,Resultados!$F$360:$F$385),"")</f>
        <v>0</v>
      </c>
      <c r="V16" s="23">
        <f>IF(C16&lt;&gt;"",SUMIF(Resultados!$C$389:$C$437,'Temporada 2025'!C16,Resultados!$F$389:$F$437),"")</f>
        <v>3</v>
      </c>
      <c r="W16" s="23">
        <f>IF(C16&lt;&gt;"",SUMIF(Resultados!$C$440:$C$465,'Temporada 2025'!C16,Resultados!$F$440:$F$465),"")</f>
        <v>0</v>
      </c>
      <c r="X16" s="23">
        <f>IF(C16&lt;&gt;"",SUMIF(Resultados!$C$468:$C$493,'Temporada 2025'!C16,Resultados!$F$468:$F$493),"")</f>
        <v>0</v>
      </c>
      <c r="Y16" s="23">
        <f>IF(C16&lt;&gt;"",SUMIF(Resultados!$C$496:$C$521,'Temporada 2025'!C16,Resultados!$F$496:$F$521),"")</f>
        <v>0</v>
      </c>
      <c r="Z16" s="23">
        <f>IF(C16&lt;&gt;"",SUMIF(Resultados!$C$524:$C$549,'Temporada 2025'!C16,Resultados!$F$524:$F$549),"")</f>
        <v>15</v>
      </c>
      <c r="AA16" s="23">
        <f>IF(C16&lt;&gt;"",SUMIF(Resultados!$C$552:$C$577,'Temporada 2025'!C16,Resultados!$F$552:$F$577),"")</f>
        <v>1</v>
      </c>
      <c r="AB16" s="23">
        <f>IF(C16&lt;&gt;"",SUMIF(Resultados!$C$581:$C$629,'Temporada 2025'!C16,Resultados!$F$581:$F$629),"")</f>
        <v>6</v>
      </c>
      <c r="AC16" s="23">
        <f>IF(C16&lt;&gt;"",SUMIF(Resultados!$C$632:$C$657,'Temporada 2025'!C16,Resultados!$F$632:$F$657),"")</f>
        <v>0</v>
      </c>
      <c r="AD16" s="23">
        <f>IF(C16&lt;&gt;"",SUMIF(Resultados!$C$661:$C$709,'Temporada 2025'!C16,Resultados!$F$661:$F$709),"")</f>
        <v>0</v>
      </c>
      <c r="AE16" s="23">
        <f>IF(C16&lt;&gt;"",SUMIF(Resultados!$C$712:$C$737,'Temporada 2025'!C16,Resultados!$F$712:$F$737),"")</f>
        <v>10</v>
      </c>
      <c r="AF16" s="23">
        <f>IF(C16&lt;&gt;"",SUMIF(Resultados!$C$741:$C$789,'Temporada 2025'!C16,Resultados!$F$741:$F$789),"")</f>
        <v>16</v>
      </c>
      <c r="AG16" s="23">
        <f>IF(C16&lt;&gt;"",SUMIF(Resultados!$C$792:$C$817,'Temporada 2025'!C16,Resultados!$F$792:$F$817),"")</f>
        <v>0</v>
      </c>
    </row>
    <row r="17" spans="2:33" x14ac:dyDescent="0.2">
      <c r="B17" s="26">
        <f>IF('Equipes e Pilotos'!B12&lt;&gt;"",'Equipes e Pilotos'!B12,"")</f>
        <v>10</v>
      </c>
      <c r="C17" s="24" t="str">
        <f>VLOOKUP(B17,'Dummy Table'!$A$3:$B$30,2,FALSE)</f>
        <v>Isack Hadjar</v>
      </c>
      <c r="D17" s="28" t="str">
        <f>VLOOKUP(B17,'Dummy Table'!$A$3:$C$30,3,FALSE)</f>
        <v>França</v>
      </c>
      <c r="E17" s="28" t="str">
        <f>VLOOKUP(B17,'Dummy Table'!$A$3:$D$30,4,FALSE)</f>
        <v>Racing Bulls</v>
      </c>
      <c r="F17" s="29" t="str">
        <f>IF(C17&lt;&gt;"",IF(G17+Resultados!$K$35&gt;$G$8,"J","L"),"")</f>
        <v>L</v>
      </c>
      <c r="G17" s="137">
        <f>VLOOKUP(B17,'Dummy Table'!$A$3:$E$30,5,FALSE)</f>
        <v>51</v>
      </c>
      <c r="H17" s="28">
        <f t="shared" si="0"/>
        <v>-357</v>
      </c>
      <c r="I17" s="30">
        <f>IF(B17="","",SUMIF(Resultados!$M$3:$M$30,C17,Resultados!$O$3:$O$30))</f>
        <v>0</v>
      </c>
      <c r="J17" s="23">
        <f>IF(C17&lt;&gt;"",SUMIF(Resultados!$C$4:$C$29,'Temporada 2025'!C17,Resultados!$F$4:$F$29),"")</f>
        <v>0</v>
      </c>
      <c r="K17" s="23">
        <f>IF(C17&lt;&gt;"",SUMIF(Resultados!$C$33:$C$81,'Temporada 2025'!C17,Resultados!$F$33:$F$81),"")</f>
        <v>0</v>
      </c>
      <c r="L17" s="23">
        <f>IF(C17&lt;&gt;"",SUMIF(Resultados!$C$84:$C$109,'Temporada 2025'!C17,Resultados!$F$84:$F$109),"")</f>
        <v>4</v>
      </c>
      <c r="M17" s="23">
        <f>IF(C17&lt;&gt;"",SUMIF(Resultados!$C$112:$C$137,'Temporada 2025'!C17,Resultados!$F$112:$F$137),"")</f>
        <v>0</v>
      </c>
      <c r="N17" s="23">
        <f>IF(C17&lt;&gt;"",SUMIF(Resultados!$C$140:$C$165,'Temporada 2025'!C17,Resultados!$F$140:$F$165),"")</f>
        <v>1</v>
      </c>
      <c r="O17" s="23">
        <f>IF(C17&lt;&gt;"",SUMIF(Resultados!$C$169:$C$217,'Temporada 2025'!C17,Resultados!$F$169:$F$217),"")</f>
        <v>0</v>
      </c>
      <c r="P17" s="23">
        <f>IF(C17&lt;&gt;"",SUMIF(Resultados!$C$220:$C$245,'Temporada 2025'!C17,Resultados!$F$220:$F$245),"")</f>
        <v>2</v>
      </c>
      <c r="Q17" s="23">
        <f>IF(C17&lt;&gt;"",SUMIF(Resultados!$C$248:$C$273,'Temporada 2025'!C17,Resultados!$F$248:$F$273),"")</f>
        <v>8</v>
      </c>
      <c r="R17" s="23">
        <f>IF(C17&lt;&gt;"",SUMIF(Resultados!$C$276:$C$301,'Temporada 2025'!C17,Resultados!$F$276:$F$301),"")</f>
        <v>6</v>
      </c>
      <c r="S17" s="23">
        <f>IF(C17&lt;&gt;"",SUMIF(Resultados!$C$304:$C$329,'Temporada 2025'!C17,Resultados!$F$304:$F$329),"")</f>
        <v>0</v>
      </c>
      <c r="T17" s="23">
        <f>IF(C17&lt;&gt;"",SUMIF(Resultados!$C$332:$C$357,'Temporada 2025'!C17,Resultados!$F$332:$F$357),"")</f>
        <v>0</v>
      </c>
      <c r="U17" s="23">
        <f>IF(C17&lt;&gt;"",SUMIF(Resultados!$C$360:$C$385,'Temporada 2025'!C17,Resultados!$F$360:$F$385),"")</f>
        <v>0</v>
      </c>
      <c r="V17" s="23">
        <f>IF(C17&lt;&gt;"",SUMIF(Resultados!$C$389:$C$437,'Temporada 2025'!C17,Resultados!$F$389:$F$437),"")</f>
        <v>1</v>
      </c>
      <c r="W17" s="23">
        <f>IF(C17&lt;&gt;"",SUMIF(Resultados!$C$440:$C$465,'Temporada 2025'!C17,Resultados!$F$440:$F$465),"")</f>
        <v>0</v>
      </c>
      <c r="X17" s="23">
        <f>IF(C17&lt;&gt;"",SUMIF(Resultados!$C$468:$C$493,'Temporada 2025'!C17,Resultados!$F$468:$F$493),"")</f>
        <v>15</v>
      </c>
      <c r="Y17" s="23">
        <f>IF(C17&lt;&gt;"",SUMIF(Resultados!$C$496:$C$521,'Temporada 2025'!C17,Resultados!$F$496:$F$521),"")</f>
        <v>1</v>
      </c>
      <c r="Z17" s="23">
        <f>IF(C17&lt;&gt;"",SUMIF(Resultados!$C$524:$C$549,'Temporada 2025'!C17,Resultados!$F$524:$F$549),"")</f>
        <v>1</v>
      </c>
      <c r="AA17" s="23">
        <f>IF(C17&lt;&gt;"",SUMIF(Resultados!$C$552:$C$577,'Temporada 2025'!C17,Resultados!$F$552:$F$577),"")</f>
        <v>0</v>
      </c>
      <c r="AB17" s="23">
        <f>IF(C17&lt;&gt;"",SUMIF(Resultados!$C$581:$C$629,'Temporada 2025'!C17,Resultados!$F$581:$F$629),"")</f>
        <v>0</v>
      </c>
      <c r="AC17" s="23">
        <f>IF(C17&lt;&gt;"",SUMIF(Resultados!$C$632:$C$657,'Temporada 2025'!C17,Resultados!$F$632:$F$657),"")</f>
        <v>0</v>
      </c>
      <c r="AD17" s="23">
        <f>IF(C17&lt;&gt;"",SUMIF(Resultados!$C$661:$C$709,'Temporada 2025'!C17,Resultados!$F$661:$F$709),"")</f>
        <v>4</v>
      </c>
      <c r="AE17" s="23">
        <f>IF(C17&lt;&gt;"",SUMIF(Resultados!$C$712:$C$737,'Temporada 2025'!C17,Resultados!$F$712:$F$737),"")</f>
        <v>8</v>
      </c>
      <c r="AF17" s="23">
        <f>IF(C17&lt;&gt;"",SUMIF(Resultados!$C$741:$C$789,'Temporada 2025'!C17,Resultados!$F$741:$F$789),"")</f>
        <v>0</v>
      </c>
      <c r="AG17" s="23">
        <f>IF(C17&lt;&gt;"",SUMIF(Resultados!$C$792:$C$817,'Temporada 2025'!C17,Resultados!$F$792:$F$817),"")</f>
        <v>0</v>
      </c>
    </row>
    <row r="18" spans="2:33" x14ac:dyDescent="0.2">
      <c r="B18" s="26">
        <f>IF('Equipes e Pilotos'!B13&lt;&gt;"",'Equipes e Pilotos'!B13,"")</f>
        <v>11</v>
      </c>
      <c r="C18" s="24" t="str">
        <f>VLOOKUP(B18,'Dummy Table'!$A$3:$B$30,2,FALSE)</f>
        <v>Nico Hulkenberg</v>
      </c>
      <c r="D18" s="28" t="str">
        <f>VLOOKUP(B18,'Dummy Table'!$A$3:$C$30,3,FALSE)</f>
        <v>Alemanha</v>
      </c>
      <c r="E18" s="28" t="str">
        <f>VLOOKUP(B18,'Dummy Table'!$A$3:$D$30,4,FALSE)</f>
        <v>Kick Sauber</v>
      </c>
      <c r="F18" s="29" t="str">
        <f>IF(C18&lt;&gt;"",IF(G18+Resultados!$K$35&gt;$G$8,"J","L"),"")</f>
        <v>L</v>
      </c>
      <c r="G18" s="137">
        <f>VLOOKUP(B18,'Dummy Table'!$A$3:$E$30,5,FALSE)</f>
        <v>49</v>
      </c>
      <c r="H18" s="28">
        <f t="shared" si="0"/>
        <v>-359</v>
      </c>
      <c r="I18" s="30">
        <f>IF(B18="","",SUMIF(Resultados!$M$3:$M$30,C18,Resultados!$O$3:$O$30))</f>
        <v>0</v>
      </c>
      <c r="J18" s="23">
        <f>IF(C18&lt;&gt;"",SUMIF(Resultados!$C$4:$C$29,'Temporada 2025'!C18,Resultados!$F$4:$F$29),"")</f>
        <v>6</v>
      </c>
      <c r="K18" s="23">
        <f>IF(C18&lt;&gt;"",SUMIF(Resultados!$C$33:$C$81,'Temporada 2025'!C18,Resultados!$F$33:$F$81),"")</f>
        <v>0</v>
      </c>
      <c r="L18" s="23">
        <f>IF(C18&lt;&gt;"",SUMIF(Resultados!$C$84:$C$109,'Temporada 2025'!C18,Resultados!$F$84:$F$109),"")</f>
        <v>0</v>
      </c>
      <c r="M18" s="23">
        <f>IF(C18&lt;&gt;"",SUMIF(Resultados!$C$112:$C$137,'Temporada 2025'!C18,Resultados!$F$112:$F$137),"")</f>
        <v>0</v>
      </c>
      <c r="N18" s="23">
        <f>IF(C18&lt;&gt;"",SUMIF(Resultados!$C$140:$C$165,'Temporada 2025'!C18,Resultados!$F$140:$F$165),"")</f>
        <v>0</v>
      </c>
      <c r="O18" s="23">
        <f>IF(C18&lt;&gt;"",SUMIF(Resultados!$C$169:$C$217,'Temporada 2025'!C18,Resultados!$F$169:$F$217),"")</f>
        <v>0</v>
      </c>
      <c r="P18" s="23">
        <f>IF(C18&lt;&gt;"",SUMIF(Resultados!$C$220:$C$245,'Temporada 2025'!C18,Resultados!$F$220:$F$245),"")</f>
        <v>0</v>
      </c>
      <c r="Q18" s="23">
        <f>IF(C18&lt;&gt;"",SUMIF(Resultados!$C$248:$C$273,'Temporada 2025'!C18,Resultados!$F$248:$F$273),"")</f>
        <v>0</v>
      </c>
      <c r="R18" s="23">
        <f>IF(C18&lt;&gt;"",SUMIF(Resultados!$C$276:$C$301,'Temporada 2025'!C18,Resultados!$F$276:$F$301),"")</f>
        <v>10</v>
      </c>
      <c r="S18" s="23">
        <f>IF(C18&lt;&gt;"",SUMIF(Resultados!$C$304:$C$329,'Temporada 2025'!C18,Resultados!$F$304:$F$329),"")</f>
        <v>4</v>
      </c>
      <c r="T18" s="23">
        <f>IF(C18&lt;&gt;"",SUMIF(Resultados!$C$332:$C$357,'Temporada 2025'!C18,Resultados!$F$332:$F$357),"")</f>
        <v>2</v>
      </c>
      <c r="U18" s="23">
        <f>IF(C18&lt;&gt;"",SUMIF(Resultados!$C$360:$C$385,'Temporada 2025'!C18,Resultados!$F$360:$F$385),"")</f>
        <v>15</v>
      </c>
      <c r="V18" s="23">
        <f>IF(C18&lt;&gt;"",SUMIF(Resultados!$C$389:$C$437,'Temporada 2025'!C18,Resultados!$F$389:$F$437),"")</f>
        <v>0</v>
      </c>
      <c r="W18" s="23">
        <f>IF(C18&lt;&gt;"",SUMIF(Resultados!$C$440:$C$465,'Temporada 2025'!C18,Resultados!$F$440:$F$465),"")</f>
        <v>0</v>
      </c>
      <c r="X18" s="23">
        <f>IF(C18&lt;&gt;"",SUMIF(Resultados!$C$468:$C$493,'Temporada 2025'!C18,Resultados!$F$468:$F$493),"")</f>
        <v>0</v>
      </c>
      <c r="Y18" s="23">
        <f>IF(C18&lt;&gt;"",SUMIF(Resultados!$C$496:$C$521,'Temporada 2025'!C18,Resultados!$F$496:$F$521),"")</f>
        <v>0</v>
      </c>
      <c r="Z18" s="23">
        <f>IF(C18&lt;&gt;"",SUMIF(Resultados!$C$524:$C$549,'Temporada 2025'!C18,Resultados!$F$524:$F$549),"")</f>
        <v>0</v>
      </c>
      <c r="AA18" s="23">
        <f>IF(C18&lt;&gt;"",SUMIF(Resultados!$C$552:$C$577,'Temporada 2025'!C18,Resultados!$F$552:$F$577),"")</f>
        <v>0</v>
      </c>
      <c r="AB18" s="23">
        <f>IF(C18&lt;&gt;"",SUMIF(Resultados!$C$581:$C$629,'Temporada 2025'!C18,Resultados!$F$581:$F$629),"")</f>
        <v>4</v>
      </c>
      <c r="AC18" s="23">
        <f>IF(C18&lt;&gt;"",SUMIF(Resultados!$C$632:$C$657,'Temporada 2025'!C18,Resultados!$F$632:$F$657),"")</f>
        <v>0</v>
      </c>
      <c r="AD18" s="23">
        <f>IF(C18&lt;&gt;"",SUMIF(Resultados!$C$661:$C$709,'Temporada 2025'!C18,Resultados!$F$661:$F$709),"")</f>
        <v>2</v>
      </c>
      <c r="AE18" s="23">
        <f>IF(C18&lt;&gt;"",SUMIF(Resultados!$C$712:$C$737,'Temporada 2025'!C18,Resultados!$F$712:$F$737),"")</f>
        <v>6</v>
      </c>
      <c r="AF18" s="23">
        <f>IF(C18&lt;&gt;"",SUMIF(Resultados!$C$741:$C$789,'Temporada 2025'!C18,Resultados!$F$741:$F$789),"")</f>
        <v>0</v>
      </c>
      <c r="AG18" s="23">
        <f>IF(C18&lt;&gt;"",SUMIF(Resultados!$C$792:$C$817,'Temporada 2025'!C18,Resultados!$F$792:$F$817),"")</f>
        <v>0</v>
      </c>
    </row>
    <row r="19" spans="2:33" x14ac:dyDescent="0.2">
      <c r="B19" s="26">
        <f>IF('Equipes e Pilotos'!B14&lt;&gt;"",'Equipes e Pilotos'!B14,"")</f>
        <v>12</v>
      </c>
      <c r="C19" s="24" t="str">
        <f>VLOOKUP(B19,'Dummy Table'!$A$3:$B$30,2,FALSE)</f>
        <v>Fernando Alonso</v>
      </c>
      <c r="D19" s="28" t="str">
        <f>VLOOKUP(B19,'Dummy Table'!$A$3:$C$30,3,FALSE)</f>
        <v>Espanha</v>
      </c>
      <c r="E19" s="28" t="str">
        <f>VLOOKUP(B19,'Dummy Table'!$A$3:$D$30,4,FALSE)</f>
        <v>Aston Martin</v>
      </c>
      <c r="F19" s="29" t="str">
        <f>IF(C19&lt;&gt;"",IF(G19+Resultados!$K$35&gt;$G$8,"J","L"),"")</f>
        <v>L</v>
      </c>
      <c r="G19" s="137">
        <f>VLOOKUP(B19,'Dummy Table'!$A$3:$E$30,5,FALSE)</f>
        <v>48</v>
      </c>
      <c r="H19" s="28">
        <f t="shared" si="0"/>
        <v>-360</v>
      </c>
      <c r="I19" s="30">
        <f>IF(B19="","",SUMIF(Resultados!$M$3:$M$30,C19,Resultados!$O$3:$O$30))</f>
        <v>0</v>
      </c>
      <c r="J19" s="23">
        <f>IF(C19&lt;&gt;"",SUMIF(Resultados!$C$4:$C$29,'Temporada 2025'!C19,Resultados!$F$4:$F$29),"")</f>
        <v>0</v>
      </c>
      <c r="K19" s="23">
        <f>IF(C19&lt;&gt;"",SUMIF(Resultados!$C$33:$C$81,'Temporada 2025'!C19,Resultados!$F$33:$F$81),"")</f>
        <v>0</v>
      </c>
      <c r="L19" s="23">
        <f>IF(C19&lt;&gt;"",SUMIF(Resultados!$C$84:$C$109,'Temporada 2025'!C19,Resultados!$F$84:$F$109),"")</f>
        <v>0</v>
      </c>
      <c r="M19" s="23">
        <f>IF(C19&lt;&gt;"",SUMIF(Resultados!$C$112:$C$137,'Temporada 2025'!C19,Resultados!$F$112:$F$137),"")</f>
        <v>0</v>
      </c>
      <c r="N19" s="23">
        <f>IF(C19&lt;&gt;"",SUMIF(Resultados!$C$140:$C$165,'Temporada 2025'!C19,Resultados!$F$140:$F$165),"")</f>
        <v>0</v>
      </c>
      <c r="O19" s="23">
        <f>IF(C19&lt;&gt;"",SUMIF(Resultados!$C$169:$C$217,'Temporada 2025'!C19,Resultados!$F$169:$F$217),"")</f>
        <v>0</v>
      </c>
      <c r="P19" s="23">
        <f>IF(C19&lt;&gt;"",SUMIF(Resultados!$C$220:$C$245,'Temporada 2025'!C19,Resultados!$F$220:$F$245),"")</f>
        <v>0</v>
      </c>
      <c r="Q19" s="23">
        <f>IF(C19&lt;&gt;"",SUMIF(Resultados!$C$248:$C$273,'Temporada 2025'!C19,Resultados!$F$248:$F$273),"")</f>
        <v>0</v>
      </c>
      <c r="R19" s="23">
        <f>IF(C19&lt;&gt;"",SUMIF(Resultados!$C$276:$C$301,'Temporada 2025'!C19,Resultados!$F$276:$F$301),"")</f>
        <v>2</v>
      </c>
      <c r="S19" s="23">
        <f>IF(C19&lt;&gt;"",SUMIF(Resultados!$C$304:$C$329,'Temporada 2025'!C19,Resultados!$F$304:$F$329),"")</f>
        <v>6</v>
      </c>
      <c r="T19" s="23">
        <f>IF(C19&lt;&gt;"",SUMIF(Resultados!$C$332:$C$357,'Temporada 2025'!C19,Resultados!$F$332:$F$357),"")</f>
        <v>6</v>
      </c>
      <c r="U19" s="23">
        <f>IF(C19&lt;&gt;"",SUMIF(Resultados!$C$360:$C$385,'Temporada 2025'!C19,Resultados!$F$360:$F$385),"")</f>
        <v>2</v>
      </c>
      <c r="V19" s="23">
        <f>IF(C19&lt;&gt;"",SUMIF(Resultados!$C$389:$C$437,'Temporada 2025'!C19,Resultados!$F$389:$F$437),"")</f>
        <v>0</v>
      </c>
      <c r="W19" s="23">
        <f>IF(C19&lt;&gt;"",SUMIF(Resultados!$C$440:$C$465,'Temporada 2025'!C19,Resultados!$F$440:$F$465),"")</f>
        <v>10</v>
      </c>
      <c r="X19" s="23">
        <f>IF(C19&lt;&gt;"",SUMIF(Resultados!$C$468:$C$493,'Temporada 2025'!C19,Resultados!$F$468:$F$493),"")</f>
        <v>4</v>
      </c>
      <c r="Y19" s="23">
        <f>IF(C19&lt;&gt;"",SUMIF(Resultados!$C$496:$C$521,'Temporada 2025'!C19,Resultados!$F$496:$F$521),"")</f>
        <v>0</v>
      </c>
      <c r="Z19" s="23">
        <f>IF(C19&lt;&gt;"",SUMIF(Resultados!$C$524:$C$549,'Temporada 2025'!C19,Resultados!$F$524:$F$549),"")</f>
        <v>0</v>
      </c>
      <c r="AA19" s="23">
        <f>IF(C19&lt;&gt;"",SUMIF(Resultados!$C$552:$C$577,'Temporada 2025'!C19,Resultados!$F$552:$F$577),"")</f>
        <v>6</v>
      </c>
      <c r="AB19" s="23">
        <f>IF(C19&lt;&gt;"",SUMIF(Resultados!$C$581:$C$629,'Temporada 2025'!C19,Resultados!$F$581:$F$629),"")</f>
        <v>1</v>
      </c>
      <c r="AC19" s="23">
        <f>IF(C19&lt;&gt;"",SUMIF(Resultados!$C$632:$C$657,'Temporada 2025'!C19,Resultados!$F$632:$F$657),"")</f>
        <v>0</v>
      </c>
      <c r="AD19" s="23">
        <f>IF(C19&lt;&gt;"",SUMIF(Resultados!$C$661:$C$709,'Temporada 2025'!C19,Resultados!$F$661:$F$709),"")</f>
        <v>3</v>
      </c>
      <c r="AE19" s="23">
        <f>IF(C19&lt;&gt;"",SUMIF(Resultados!$C$712:$C$737,'Temporada 2025'!C19,Resultados!$F$712:$F$737),"")</f>
        <v>0</v>
      </c>
      <c r="AF19" s="23">
        <f>IF(C19&lt;&gt;"",SUMIF(Resultados!$C$741:$C$789,'Temporada 2025'!C19,Resultados!$F$741:$F$789),"")</f>
        <v>8</v>
      </c>
      <c r="AG19" s="23">
        <f>IF(C19&lt;&gt;"",SUMIF(Resultados!$C$792:$C$817,'Temporada 2025'!C19,Resultados!$F$792:$F$817),"")</f>
        <v>0</v>
      </c>
    </row>
    <row r="20" spans="2:33" x14ac:dyDescent="0.2">
      <c r="B20" s="26">
        <f>IF('Equipes e Pilotos'!B15&lt;&gt;"",'Equipes e Pilotos'!B15,"")</f>
        <v>13</v>
      </c>
      <c r="C20" s="24" t="str">
        <f>VLOOKUP(B20,'Dummy Table'!$A$3:$B$30,2,FALSE)</f>
        <v>Oliver Bearman</v>
      </c>
      <c r="D20" s="28" t="str">
        <f>VLOOKUP(B20,'Dummy Table'!$A$3:$C$30,3,FALSE)</f>
        <v>Inglaterra</v>
      </c>
      <c r="E20" s="28" t="str">
        <f>VLOOKUP(B20,'Dummy Table'!$A$3:$D$30,4,FALSE)</f>
        <v>Haas</v>
      </c>
      <c r="F20" s="29" t="str">
        <f>IF(C20&lt;&gt;"",IF(G20+Resultados!$K$35&gt;$G$8,"J","L"),"")</f>
        <v>L</v>
      </c>
      <c r="G20" s="137">
        <f>VLOOKUP(B20,'Dummy Table'!$A$3:$E$30,5,FALSE)</f>
        <v>41</v>
      </c>
      <c r="H20" s="28">
        <f t="shared" si="0"/>
        <v>-367</v>
      </c>
      <c r="I20" s="30">
        <f>IF(B20="","",SUMIF(Resultados!$M$3:$M$30,C20,Resultados!$O$3:$O$30))</f>
        <v>0</v>
      </c>
      <c r="J20" s="23">
        <f>IF(C20&lt;&gt;"",SUMIF(Resultados!$C$4:$C$29,'Temporada 2025'!C20,Resultados!$F$4:$F$29),"")</f>
        <v>0</v>
      </c>
      <c r="K20" s="23">
        <f>IF(C20&lt;&gt;"",SUMIF(Resultados!$C$33:$C$81,'Temporada 2025'!C20,Resultados!$F$33:$F$81),"")</f>
        <v>4</v>
      </c>
      <c r="L20" s="23">
        <f>IF(C20&lt;&gt;"",SUMIF(Resultados!$C$84:$C$109,'Temporada 2025'!C20,Resultados!$F$84:$F$109),"")</f>
        <v>1</v>
      </c>
      <c r="M20" s="23">
        <f>IF(C20&lt;&gt;"",SUMIF(Resultados!$C$112:$C$137,'Temporada 2025'!C20,Resultados!$F$112:$F$137),"")</f>
        <v>1</v>
      </c>
      <c r="N20" s="23">
        <f>IF(C20&lt;&gt;"",SUMIF(Resultados!$C$140:$C$165,'Temporada 2025'!C20,Resultados!$F$140:$F$165),"")</f>
        <v>0</v>
      </c>
      <c r="O20" s="23">
        <f>IF(C20&lt;&gt;"",SUMIF(Resultados!$C$169:$C$217,'Temporada 2025'!C20,Resultados!$F$169:$F$217),"")</f>
        <v>0</v>
      </c>
      <c r="P20" s="23">
        <f>IF(C20&lt;&gt;"",SUMIF(Resultados!$C$220:$C$245,'Temporada 2025'!C20,Resultados!$F$220:$F$245),"")</f>
        <v>0</v>
      </c>
      <c r="Q20" s="23">
        <f>IF(C20&lt;&gt;"",SUMIF(Resultados!$C$248:$C$273,'Temporada 2025'!C20,Resultados!$F$248:$F$273),"")</f>
        <v>0</v>
      </c>
      <c r="R20" s="23">
        <f>IF(C20&lt;&gt;"",SUMIF(Resultados!$C$276:$C$301,'Temporada 2025'!C20,Resultados!$F$276:$F$301),"")</f>
        <v>0</v>
      </c>
      <c r="S20" s="23">
        <f>IF(C20&lt;&gt;"",SUMIF(Resultados!$C$304:$C$329,'Temporada 2025'!C20,Resultados!$F$304:$F$329),"")</f>
        <v>0</v>
      </c>
      <c r="T20" s="23">
        <f>IF(C20&lt;&gt;"",SUMIF(Resultados!$C$332:$C$357,'Temporada 2025'!C20,Resultados!$F$332:$F$357),"")</f>
        <v>0</v>
      </c>
      <c r="U20" s="23">
        <f>IF(C20&lt;&gt;"",SUMIF(Resultados!$C$360:$C$385,'Temporada 2025'!C20,Resultados!$F$360:$F$385),"")</f>
        <v>0</v>
      </c>
      <c r="V20" s="23">
        <f>IF(C20&lt;&gt;"",SUMIF(Resultados!$C$389:$C$437,'Temporada 2025'!C20,Resultados!$F$389:$F$437),"")</f>
        <v>2</v>
      </c>
      <c r="W20" s="23">
        <f>IF(C20&lt;&gt;"",SUMIF(Resultados!$C$440:$C$465,'Temporada 2025'!C20,Resultados!$F$440:$F$465),"")</f>
        <v>0</v>
      </c>
      <c r="X20" s="23">
        <f>IF(C20&lt;&gt;"",SUMIF(Resultados!$C$468:$C$493,'Temporada 2025'!C20,Resultados!$F$468:$F$493),"")</f>
        <v>8</v>
      </c>
      <c r="Y20" s="23">
        <f>IF(C20&lt;&gt;"",SUMIF(Resultados!$C$496:$C$521,'Temporada 2025'!C20,Resultados!$F$496:$F$521),"")</f>
        <v>0</v>
      </c>
      <c r="Z20" s="23">
        <f>IF(C20&lt;&gt;"",SUMIF(Resultados!$C$524:$C$549,'Temporada 2025'!C20,Resultados!$F$524:$F$549),"")</f>
        <v>0</v>
      </c>
      <c r="AA20" s="23">
        <f>IF(C20&lt;&gt;"",SUMIF(Resultados!$C$552:$C$577,'Temporada 2025'!C20,Resultados!$F$552:$F$577),"")</f>
        <v>2</v>
      </c>
      <c r="AB20" s="23">
        <f>IF(C20&lt;&gt;"",SUMIF(Resultados!$C$581:$C$629,'Temporada 2025'!C20,Resultados!$F$581:$F$629),"")</f>
        <v>2</v>
      </c>
      <c r="AC20" s="23">
        <f>IF(C20&lt;&gt;"",SUMIF(Resultados!$C$632:$C$657,'Temporada 2025'!C20,Resultados!$F$632:$F$657),"")</f>
        <v>12</v>
      </c>
      <c r="AD20" s="23">
        <f>IF(C20&lt;&gt;"",SUMIF(Resultados!$C$661:$C$709,'Temporada 2025'!C20,Resultados!$F$661:$F$709),"")</f>
        <v>8</v>
      </c>
      <c r="AE20" s="23">
        <f>IF(C20&lt;&gt;"",SUMIF(Resultados!$C$712:$C$737,'Temporada 2025'!C20,Resultados!$F$712:$F$737),"")</f>
        <v>1</v>
      </c>
      <c r="AF20" s="23">
        <f>IF(C20&lt;&gt;"",SUMIF(Resultados!$C$741:$C$789,'Temporada 2025'!C20,Resultados!$F$741:$F$789),"")</f>
        <v>0</v>
      </c>
      <c r="AG20" s="23">
        <f>IF(C20&lt;&gt;"",SUMIF(Resultados!$C$792:$C$817,'Temporada 2025'!C20,Resultados!$F$792:$F$817),"")</f>
        <v>0</v>
      </c>
    </row>
    <row r="21" spans="2:33" x14ac:dyDescent="0.2">
      <c r="B21" s="26">
        <f>IF('Equipes e Pilotos'!B16&lt;&gt;"",'Equipes e Pilotos'!B16,"")</f>
        <v>14</v>
      </c>
      <c r="C21" s="24" t="str">
        <f>VLOOKUP(B21,'Dummy Table'!$A$3:$B$30,2,FALSE)</f>
        <v>Liam Lawson</v>
      </c>
      <c r="D21" s="28" t="str">
        <f>VLOOKUP(B21,'Dummy Table'!$A$3:$C$30,3,FALSE)</f>
        <v>Austrália</v>
      </c>
      <c r="E21" s="28" t="str">
        <f>VLOOKUP(B21,'Dummy Table'!$A$3:$D$30,4,FALSE)</f>
        <v>Racing Bulls</v>
      </c>
      <c r="F21" s="29" t="str">
        <f>IF(C21&lt;&gt;"",IF(G21+Resultados!$K$35&gt;$G$8,"J","L"),"")</f>
        <v>L</v>
      </c>
      <c r="G21" s="137">
        <f>VLOOKUP(B21,'Dummy Table'!$A$3:$E$30,5,FALSE)</f>
        <v>38</v>
      </c>
      <c r="H21" s="28">
        <f t="shared" si="0"/>
        <v>-370</v>
      </c>
      <c r="I21" s="30">
        <f>IF(B21="","",SUMIF(Resultados!$M$3:$M$30,C21,Resultados!$O$3:$O$30))</f>
        <v>0</v>
      </c>
      <c r="J21" s="23">
        <f>IF(C21&lt;&gt;"",SUMIF(Resultados!$C$4:$C$29,'Temporada 2025'!C21,Resultados!$F$4:$F$29),"")</f>
        <v>0</v>
      </c>
      <c r="K21" s="23">
        <f>IF(C21&lt;&gt;"",SUMIF(Resultados!$C$33:$C$81,'Temporada 2025'!C21,Resultados!$F$33:$F$81),"")</f>
        <v>0</v>
      </c>
      <c r="L21" s="23">
        <f>IF(C21&lt;&gt;"",SUMIF(Resultados!$C$84:$C$109,'Temporada 2025'!C21,Resultados!$F$84:$F$109),"")</f>
        <v>0</v>
      </c>
      <c r="M21" s="23">
        <f>IF(C21&lt;&gt;"",SUMIF(Resultados!$C$112:$C$137,'Temporada 2025'!C21,Resultados!$F$112:$F$137),"")</f>
        <v>0</v>
      </c>
      <c r="N21" s="23">
        <f>IF(C21&lt;&gt;"",SUMIF(Resultados!$C$140:$C$165,'Temporada 2025'!C21,Resultados!$F$140:$F$165),"")</f>
        <v>0</v>
      </c>
      <c r="O21" s="23">
        <f>IF(C21&lt;&gt;"",SUMIF(Resultados!$C$169:$C$217,'Temporada 2025'!C21,Resultados!$F$169:$F$217),"")</f>
        <v>0</v>
      </c>
      <c r="P21" s="23">
        <f>IF(C21&lt;&gt;"",SUMIF(Resultados!$C$220:$C$245,'Temporada 2025'!C21,Resultados!$F$220:$F$245),"")</f>
        <v>0</v>
      </c>
      <c r="Q21" s="23">
        <f>IF(C21&lt;&gt;"",SUMIF(Resultados!$C$248:$C$273,'Temporada 2025'!C21,Resultados!$F$248:$F$273),"")</f>
        <v>4</v>
      </c>
      <c r="R21" s="23">
        <f>IF(C21&lt;&gt;"",SUMIF(Resultados!$C$276:$C$301,'Temporada 2025'!C21,Resultados!$F$276:$F$301),"")</f>
        <v>0</v>
      </c>
      <c r="S21" s="23">
        <f>IF(C21&lt;&gt;"",SUMIF(Resultados!$C$304:$C$329,'Temporada 2025'!C21,Resultados!$F$304:$F$329),"")</f>
        <v>0</v>
      </c>
      <c r="T21" s="23">
        <f>IF(C21&lt;&gt;"",SUMIF(Resultados!$C$332:$C$357,'Temporada 2025'!C21,Resultados!$F$332:$F$357),"")</f>
        <v>8</v>
      </c>
      <c r="U21" s="23">
        <f>IF(C21&lt;&gt;"",SUMIF(Resultados!$C$360:$C$385,'Temporada 2025'!C21,Resultados!$F$360:$F$385),"")</f>
        <v>0</v>
      </c>
      <c r="V21" s="23">
        <f>IF(C21&lt;&gt;"",SUMIF(Resultados!$C$389:$C$437,'Temporada 2025'!C21,Resultados!$F$389:$F$437),"")</f>
        <v>4</v>
      </c>
      <c r="W21" s="23">
        <f>IF(C21&lt;&gt;"",SUMIF(Resultados!$C$440:$C$465,'Temporada 2025'!C21,Resultados!$F$440:$F$465),"")</f>
        <v>4</v>
      </c>
      <c r="X21" s="23">
        <f>IF(C21&lt;&gt;"",SUMIF(Resultados!$C$468:$C$493,'Temporada 2025'!C21,Resultados!$F$468:$F$493),"")</f>
        <v>0</v>
      </c>
      <c r="Y21" s="23">
        <f>IF(C21&lt;&gt;"",SUMIF(Resultados!$C$496:$C$521,'Temporada 2025'!C21,Resultados!$F$496:$F$521),"")</f>
        <v>0</v>
      </c>
      <c r="Z21" s="23">
        <f>IF(C21&lt;&gt;"",SUMIF(Resultados!$C$524:$C$549,'Temporada 2025'!C21,Resultados!$F$524:$F$549),"")</f>
        <v>10</v>
      </c>
      <c r="AA21" s="23">
        <f>IF(C21&lt;&gt;"",SUMIF(Resultados!$C$552:$C$577,'Temporada 2025'!C21,Resultados!$F$552:$F$577),"")</f>
        <v>0</v>
      </c>
      <c r="AB21" s="23">
        <f>IF(C21&lt;&gt;"",SUMIF(Resultados!$C$581:$C$629,'Temporada 2025'!C21,Resultados!$F$581:$F$629),"")</f>
        <v>0</v>
      </c>
      <c r="AC21" s="23">
        <f>IF(C21&lt;&gt;"",SUMIF(Resultados!$C$632:$C$657,'Temporada 2025'!C21,Resultados!$F$632:$F$657),"")</f>
        <v>0</v>
      </c>
      <c r="AD21" s="23">
        <f>IF(C21&lt;&gt;"",SUMIF(Resultados!$C$661:$C$709,'Temporada 2025'!C21,Resultados!$F$661:$F$709),"")</f>
        <v>6</v>
      </c>
      <c r="AE21" s="23">
        <f>IF(C21&lt;&gt;"",SUMIF(Resultados!$C$712:$C$737,'Temporada 2025'!C21,Resultados!$F$712:$F$737),"")</f>
        <v>0</v>
      </c>
      <c r="AF21" s="23">
        <f>IF(C21&lt;&gt;"",SUMIF(Resultados!$C$741:$C$789,'Temporada 2025'!C21,Resultados!$F$741:$F$789),"")</f>
        <v>2</v>
      </c>
      <c r="AG21" s="23">
        <f>IF(C21&lt;&gt;"",SUMIF(Resultados!$C$792:$C$817,'Temporada 2025'!C21,Resultados!$F$792:$F$817),"")</f>
        <v>0</v>
      </c>
    </row>
    <row r="22" spans="2:33" x14ac:dyDescent="0.2">
      <c r="B22" s="26">
        <f>IF('Equipes e Pilotos'!B17&lt;&gt;"",'Equipes e Pilotos'!B17,"")</f>
        <v>15</v>
      </c>
      <c r="C22" s="24" t="str">
        <f>VLOOKUP(B22,'Dummy Table'!$A$3:$B$30,2,FALSE)</f>
        <v>Yuki Tsunoda</v>
      </c>
      <c r="D22" s="28" t="str">
        <f>VLOOKUP(B22,'Dummy Table'!$A$3:$C$30,3,FALSE)</f>
        <v>Japão</v>
      </c>
      <c r="E22" s="28" t="str">
        <f>VLOOKUP(B22,'Dummy Table'!$A$3:$D$30,4,FALSE)</f>
        <v>Red Bull</v>
      </c>
      <c r="F22" s="29" t="str">
        <f>IF(C22&lt;&gt;"",IF(G22+Resultados!$K$35&gt;$G$8,"J","L"),"")</f>
        <v>L</v>
      </c>
      <c r="G22" s="137">
        <f>VLOOKUP(B22,'Dummy Table'!$A$3:$E$30,5,FALSE)</f>
        <v>33</v>
      </c>
      <c r="H22" s="28">
        <f t="shared" si="0"/>
        <v>-375</v>
      </c>
      <c r="I22" s="30">
        <f>IF(B22="","",SUMIF(Resultados!$M$3:$M$30,C22,Resultados!$O$3:$O$30))</f>
        <v>0</v>
      </c>
      <c r="J22" s="23">
        <f>IF(C22&lt;&gt;"",SUMIF(Resultados!$C$4:$C$29,'Temporada 2025'!C22,Resultados!$F$4:$F$29),"")</f>
        <v>0</v>
      </c>
      <c r="K22" s="23">
        <f>IF(C22&lt;&gt;"",SUMIF(Resultados!$C$33:$C$81,'Temporada 2025'!C22,Resultados!$F$33:$F$81),"")</f>
        <v>3</v>
      </c>
      <c r="L22" s="23">
        <f>IF(C22&lt;&gt;"",SUMIF(Resultados!$C$84:$C$109,'Temporada 2025'!C22,Resultados!$F$84:$F$109),"")</f>
        <v>0</v>
      </c>
      <c r="M22" s="23">
        <f>IF(C22&lt;&gt;"",SUMIF(Resultados!$C$112:$C$137,'Temporada 2025'!C22,Resultados!$F$112:$F$137),"")</f>
        <v>2</v>
      </c>
      <c r="N22" s="23">
        <f>IF(C22&lt;&gt;"",SUMIF(Resultados!$C$140:$C$165,'Temporada 2025'!C22,Resultados!$F$140:$F$165),"")</f>
        <v>0</v>
      </c>
      <c r="O22" s="23">
        <f>IF(C22&lt;&gt;"",SUMIF(Resultados!$C$169:$C$217,'Temporada 2025'!C22,Resultados!$F$169:$F$217),"")</f>
        <v>4</v>
      </c>
      <c r="P22" s="23">
        <f>IF(C22&lt;&gt;"",SUMIF(Resultados!$C$220:$C$245,'Temporada 2025'!C22,Resultados!$F$220:$F$245),"")</f>
        <v>1</v>
      </c>
      <c r="Q22" s="23">
        <f>IF(C22&lt;&gt;"",SUMIF(Resultados!$C$248:$C$273,'Temporada 2025'!C22,Resultados!$F$248:$F$273),"")</f>
        <v>0</v>
      </c>
      <c r="R22" s="23">
        <f>IF(C22&lt;&gt;"",SUMIF(Resultados!$C$276:$C$301,'Temporada 2025'!C22,Resultados!$F$276:$F$301),"")</f>
        <v>0</v>
      </c>
      <c r="S22" s="23">
        <f>IF(C22&lt;&gt;"",SUMIF(Resultados!$C$304:$C$329,'Temporada 2025'!C22,Resultados!$F$304:$F$329),"")</f>
        <v>0</v>
      </c>
      <c r="T22" s="23">
        <f>IF(C22&lt;&gt;"",SUMIF(Resultados!$C$332:$C$357,'Temporada 2025'!C22,Resultados!$F$332:$F$357),"")</f>
        <v>0</v>
      </c>
      <c r="U22" s="23">
        <f>IF(C22&lt;&gt;"",SUMIF(Resultados!$C$360:$C$385,'Temporada 2025'!C22,Resultados!$F$360:$F$385),"")</f>
        <v>0</v>
      </c>
      <c r="V22" s="23">
        <f>IF(C22&lt;&gt;"",SUMIF(Resultados!$C$389:$C$437,'Temporada 2025'!C22,Resultados!$F$389:$F$437),"")</f>
        <v>0</v>
      </c>
      <c r="W22" s="23">
        <f>IF(C22&lt;&gt;"",SUMIF(Resultados!$C$440:$C$465,'Temporada 2025'!C22,Resultados!$F$440:$F$465),"")</f>
        <v>0</v>
      </c>
      <c r="X22" s="23">
        <f>IF(C22&lt;&gt;"",SUMIF(Resultados!$C$468:$C$493,'Temporada 2025'!C22,Resultados!$F$468:$F$493),"")</f>
        <v>2</v>
      </c>
      <c r="Y22" s="23">
        <f>IF(C22&lt;&gt;"",SUMIF(Resultados!$C$496:$C$521,'Temporada 2025'!C22,Resultados!$F$496:$F$521),"")</f>
        <v>0</v>
      </c>
      <c r="Z22" s="23">
        <f>IF(C22&lt;&gt;"",SUMIF(Resultados!$C$524:$C$549,'Temporada 2025'!C22,Resultados!$F$524:$F$549),"")</f>
        <v>8</v>
      </c>
      <c r="AA22" s="23">
        <f>IF(C22&lt;&gt;"",SUMIF(Resultados!$C$552:$C$577,'Temporada 2025'!C22,Resultados!$F$552:$F$577),"")</f>
        <v>0</v>
      </c>
      <c r="AB22" s="23">
        <f>IF(C22&lt;&gt;"",SUMIF(Resultados!$C$581:$C$629,'Temporada 2025'!C22,Resultados!$F$581:$F$629),"")</f>
        <v>8</v>
      </c>
      <c r="AC22" s="23">
        <f>IF(C22&lt;&gt;"",SUMIF(Resultados!$C$632:$C$657,'Temporada 2025'!C22,Resultados!$F$632:$F$657),"")</f>
        <v>0</v>
      </c>
      <c r="AD22" s="23">
        <f>IF(C22&lt;&gt;"",SUMIF(Resultados!$C$661:$C$709,'Temporada 2025'!C22,Resultados!$F$661:$F$709),"")</f>
        <v>0</v>
      </c>
      <c r="AE22" s="23">
        <f>IF(C22&lt;&gt;"",SUMIF(Resultados!$C$712:$C$737,'Temporada 2025'!C22,Resultados!$F$712:$F$737),"")</f>
        <v>0</v>
      </c>
      <c r="AF22" s="23">
        <f>IF(C22&lt;&gt;"",SUMIF(Resultados!$C$741:$C$789,'Temporada 2025'!C22,Resultados!$F$741:$F$789),"")</f>
        <v>5</v>
      </c>
      <c r="AG22" s="23">
        <f>IF(C22&lt;&gt;"",SUMIF(Resultados!$C$792:$C$817,'Temporada 2025'!C22,Resultados!$F$792:$F$817),"")</f>
        <v>0</v>
      </c>
    </row>
    <row r="23" spans="2:33" x14ac:dyDescent="0.2">
      <c r="B23" s="26">
        <f>IF('Equipes e Pilotos'!B18&lt;&gt;"",'Equipes e Pilotos'!B18,"")</f>
        <v>16</v>
      </c>
      <c r="C23" s="24" t="str">
        <f>VLOOKUP(B23,'Dummy Table'!$A$3:$B$30,2,FALSE)</f>
        <v>Esteban Ocon</v>
      </c>
      <c r="D23" s="28" t="str">
        <f>VLOOKUP(B23,'Dummy Table'!$A$3:$C$30,3,FALSE)</f>
        <v>França</v>
      </c>
      <c r="E23" s="28" t="str">
        <f>VLOOKUP(B23,'Dummy Table'!$A$3:$D$30,4,FALSE)</f>
        <v>Haas</v>
      </c>
      <c r="F23" s="29" t="str">
        <f>IF(C23&lt;&gt;"",IF(G23+Resultados!$K$35&gt;$G$8,"J","L"),"")</f>
        <v>L</v>
      </c>
      <c r="G23" s="137">
        <f>VLOOKUP(B23,'Dummy Table'!$A$3:$E$30,5,FALSE)</f>
        <v>32</v>
      </c>
      <c r="H23" s="28">
        <f t="shared" si="0"/>
        <v>-376</v>
      </c>
      <c r="I23" s="30">
        <f>IF(B23="","",SUMIF(Resultados!$M$3:$M$30,C23,Resultados!$O$3:$O$30))</f>
        <v>0</v>
      </c>
      <c r="J23" s="23">
        <f>IF(C23&lt;&gt;"",SUMIF(Resultados!$C$4:$C$29,'Temporada 2025'!C23,Resultados!$F$4:$F$29),"")</f>
        <v>0</v>
      </c>
      <c r="K23" s="23">
        <f>IF(C23&lt;&gt;"",SUMIF(Resultados!$C$33:$C$81,'Temporada 2025'!C23,Resultados!$F$33:$F$81),"")</f>
        <v>10</v>
      </c>
      <c r="L23" s="23">
        <f>IF(C23&lt;&gt;"",SUMIF(Resultados!$C$84:$C$109,'Temporada 2025'!C23,Resultados!$F$84:$F$109),"")</f>
        <v>0</v>
      </c>
      <c r="M23" s="23">
        <f>IF(C23&lt;&gt;"",SUMIF(Resultados!$C$112:$C$137,'Temporada 2025'!C23,Resultados!$F$112:$F$137),"")</f>
        <v>4</v>
      </c>
      <c r="N23" s="23">
        <f>IF(C23&lt;&gt;"",SUMIF(Resultados!$C$140:$C$165,'Temporada 2025'!C23,Resultados!$F$140:$F$165),"")</f>
        <v>0</v>
      </c>
      <c r="O23" s="23">
        <f>IF(C23&lt;&gt;"",SUMIF(Resultados!$C$169:$C$217,'Temporada 2025'!C23,Resultados!$F$169:$F$217),"")</f>
        <v>0</v>
      </c>
      <c r="P23" s="23">
        <f>IF(C23&lt;&gt;"",SUMIF(Resultados!$C$220:$C$245,'Temporada 2025'!C23,Resultados!$F$220:$F$245),"")</f>
        <v>0</v>
      </c>
      <c r="Q23" s="23">
        <f>IF(C23&lt;&gt;"",SUMIF(Resultados!$C$248:$C$273,'Temporada 2025'!C23,Resultados!$F$248:$F$273),"")</f>
        <v>6</v>
      </c>
      <c r="R23" s="23">
        <f>IF(C23&lt;&gt;"",SUMIF(Resultados!$C$276:$C$301,'Temporada 2025'!C23,Resultados!$F$276:$F$301),"")</f>
        <v>0</v>
      </c>
      <c r="S23" s="23">
        <f>IF(C23&lt;&gt;"",SUMIF(Resultados!$C$304:$C$329,'Temporada 2025'!C23,Resultados!$F$304:$F$329),"")</f>
        <v>2</v>
      </c>
      <c r="T23" s="23">
        <f>IF(C23&lt;&gt;"",SUMIF(Resultados!$C$332:$C$357,'Temporada 2025'!C23,Resultados!$F$332:$F$357),"")</f>
        <v>1</v>
      </c>
      <c r="U23" s="23">
        <f>IF(C23&lt;&gt;"",SUMIF(Resultados!$C$360:$C$385,'Temporada 2025'!C23,Resultados!$F$360:$F$385),"")</f>
        <v>0</v>
      </c>
      <c r="V23" s="23">
        <f>IF(C23&lt;&gt;"",SUMIF(Resultados!$C$389:$C$437,'Temporada 2025'!C23,Resultados!$F$389:$F$437),"")</f>
        <v>4</v>
      </c>
      <c r="W23" s="23">
        <f>IF(C23&lt;&gt;"",SUMIF(Resultados!$C$440:$C$465,'Temporada 2025'!C23,Resultados!$F$440:$F$465),"")</f>
        <v>0</v>
      </c>
      <c r="X23" s="23">
        <f>IF(C23&lt;&gt;"",SUMIF(Resultados!$C$468:$C$493,'Temporada 2025'!C23,Resultados!$F$468:$F$493),"")</f>
        <v>1</v>
      </c>
      <c r="Y23" s="23">
        <f>IF(C23&lt;&gt;"",SUMIF(Resultados!$C$496:$C$521,'Temporada 2025'!C23,Resultados!$F$496:$F$521),"")</f>
        <v>0</v>
      </c>
      <c r="Z23" s="23">
        <f>IF(C23&lt;&gt;"",SUMIF(Resultados!$C$524:$C$549,'Temporada 2025'!C23,Resultados!$F$524:$F$549),"")</f>
        <v>0</v>
      </c>
      <c r="AA23" s="23">
        <f>IF(C23&lt;&gt;"",SUMIF(Resultados!$C$552:$C$577,'Temporada 2025'!C23,Resultados!$F$552:$F$577),"")</f>
        <v>0</v>
      </c>
      <c r="AB23" s="23">
        <f>IF(C23&lt;&gt;"",SUMIF(Resultados!$C$581:$C$629,'Temporada 2025'!C23,Resultados!$F$581:$F$629),"")</f>
        <v>0</v>
      </c>
      <c r="AC23" s="23">
        <f>IF(C23&lt;&gt;"",SUMIF(Resultados!$C$632:$C$657,'Temporada 2025'!C23,Resultados!$F$632:$F$657),"")</f>
        <v>2</v>
      </c>
      <c r="AD23" s="23">
        <f>IF(C23&lt;&gt;"",SUMIF(Resultados!$C$661:$C$709,'Temporada 2025'!C23,Resultados!$F$661:$F$709),"")</f>
        <v>0</v>
      </c>
      <c r="AE23" s="23">
        <f>IF(C23&lt;&gt;"",SUMIF(Resultados!$C$712:$C$737,'Temporada 2025'!C23,Resultados!$F$712:$F$737),"")</f>
        <v>2</v>
      </c>
      <c r="AF23" s="23">
        <f>IF(C23&lt;&gt;"",SUMIF(Resultados!$C$741:$C$789,'Temporada 2025'!C23,Resultados!$F$741:$F$789),"")</f>
        <v>0</v>
      </c>
      <c r="AG23" s="23">
        <f>IF(C23&lt;&gt;"",SUMIF(Resultados!$C$792:$C$817,'Temporada 2025'!C23,Resultados!$F$792:$F$817),"")</f>
        <v>0</v>
      </c>
    </row>
    <row r="24" spans="2:33" x14ac:dyDescent="0.2">
      <c r="B24" s="26">
        <f>IF('Equipes e Pilotos'!B19&lt;&gt;"",'Equipes e Pilotos'!B19,"")</f>
        <v>17</v>
      </c>
      <c r="C24" s="24" t="str">
        <f>VLOOKUP(B24,'Dummy Table'!$A$3:$B$30,2,FALSE)</f>
        <v>Lance Stroll</v>
      </c>
      <c r="D24" s="28" t="str">
        <f>VLOOKUP(B24,'Dummy Table'!$A$3:$C$30,3,FALSE)</f>
        <v>Canadá</v>
      </c>
      <c r="E24" s="28" t="str">
        <f>VLOOKUP(B24,'Dummy Table'!$A$3:$D$30,4,FALSE)</f>
        <v>Aston Martin</v>
      </c>
      <c r="F24" s="29" t="str">
        <f>IF(C24&lt;&gt;"",IF(G24+Resultados!$K$35&gt;$G$8,"J","L"),"")</f>
        <v>L</v>
      </c>
      <c r="G24" s="137">
        <f>VLOOKUP(B24,'Dummy Table'!$A$3:$E$30,5,FALSE)</f>
        <v>32</v>
      </c>
      <c r="H24" s="28">
        <f t="shared" si="0"/>
        <v>-376</v>
      </c>
      <c r="I24" s="30">
        <f>IF(B24="","",SUMIF(Resultados!$M$3:$M$30,C24,Resultados!$O$3:$O$30))</f>
        <v>0</v>
      </c>
      <c r="J24" s="23">
        <f>IF(C24&lt;&gt;"",SUMIF(Resultados!$C$4:$C$29,'Temporada 2025'!C24,Resultados!$F$4:$F$29),"")</f>
        <v>8</v>
      </c>
      <c r="K24" s="23">
        <f>IF(C24&lt;&gt;"",SUMIF(Resultados!$C$33:$C$81,'Temporada 2025'!C24,Resultados!$F$33:$F$81),"")</f>
        <v>2</v>
      </c>
      <c r="L24" s="23">
        <f>IF(C24&lt;&gt;"",SUMIF(Resultados!$C$84:$C$109,'Temporada 2025'!C24,Resultados!$F$84:$F$109),"")</f>
        <v>0</v>
      </c>
      <c r="M24" s="23">
        <f>IF(C24&lt;&gt;"",SUMIF(Resultados!$C$112:$C$137,'Temporada 2025'!C24,Resultados!$F$112:$F$137),"")</f>
        <v>0</v>
      </c>
      <c r="N24" s="23">
        <f>IF(C24&lt;&gt;"",SUMIF(Resultados!$C$140:$C$165,'Temporada 2025'!C24,Resultados!$F$140:$F$165),"")</f>
        <v>0</v>
      </c>
      <c r="O24" s="23">
        <f>IF(C24&lt;&gt;"",SUMIF(Resultados!$C$169:$C$217,'Temporada 2025'!C24,Resultados!$F$169:$F$217),"")</f>
        <v>4</v>
      </c>
      <c r="P24" s="23">
        <f>IF(C24&lt;&gt;"",SUMIF(Resultados!$C$220:$C$245,'Temporada 2025'!C24,Resultados!$F$220:$F$245),"")</f>
        <v>0</v>
      </c>
      <c r="Q24" s="23">
        <f>IF(C24&lt;&gt;"",SUMIF(Resultados!$C$248:$C$273,'Temporada 2025'!C24,Resultados!$F$248:$F$273),"")</f>
        <v>0</v>
      </c>
      <c r="R24" s="23">
        <f>IF(C24&lt;&gt;"",SUMIF(Resultados!$C$276:$C$301,'Temporada 2025'!C24,Resultados!$F$276:$F$301),"")</f>
        <v>0</v>
      </c>
      <c r="S24" s="23">
        <f>IF(C24&lt;&gt;"",SUMIF(Resultados!$C$304:$C$329,'Temporada 2025'!C24,Resultados!$F$304:$F$329),"")</f>
        <v>0</v>
      </c>
      <c r="T24" s="23">
        <f>IF(C24&lt;&gt;"",SUMIF(Resultados!$C$332:$C$357,'Temporada 2025'!C24,Resultados!$F$332:$F$357),"")</f>
        <v>0</v>
      </c>
      <c r="U24" s="23">
        <f>IF(C24&lt;&gt;"",SUMIF(Resultados!$C$360:$C$385,'Temporada 2025'!C24,Resultados!$F$360:$F$385),"")</f>
        <v>6</v>
      </c>
      <c r="V24" s="23">
        <f>IF(C24&lt;&gt;"",SUMIF(Resultados!$C$389:$C$437,'Temporada 2025'!C24,Resultados!$F$389:$F$437),"")</f>
        <v>0</v>
      </c>
      <c r="W24" s="23">
        <f>IF(C24&lt;&gt;"",SUMIF(Resultados!$C$440:$C$465,'Temporada 2025'!C24,Resultados!$F$440:$F$465),"")</f>
        <v>6</v>
      </c>
      <c r="X24" s="23">
        <f>IF(C24&lt;&gt;"",SUMIF(Resultados!$C$468:$C$493,'Temporada 2025'!C24,Resultados!$F$468:$F$493),"")</f>
        <v>6</v>
      </c>
      <c r="Y24" s="23">
        <f>IF(C24&lt;&gt;"",SUMIF(Resultados!$C$496:$C$521,'Temporada 2025'!C24,Resultados!$F$496:$F$521),"")</f>
        <v>0</v>
      </c>
      <c r="Z24" s="23">
        <f>IF(C24&lt;&gt;"",SUMIF(Resultados!$C$524:$C$549,'Temporada 2025'!C24,Resultados!$F$524:$F$549),"")</f>
        <v>0</v>
      </c>
      <c r="AA24" s="23">
        <f>IF(C24&lt;&gt;"",SUMIF(Resultados!$C$552:$C$577,'Temporada 2025'!C24,Resultados!$F$552:$F$577),"")</f>
        <v>0</v>
      </c>
      <c r="AB24" s="23">
        <f>IF(C24&lt;&gt;"",SUMIF(Resultados!$C$581:$C$629,'Temporada 2025'!C24,Resultados!$F$581:$F$629),"")</f>
        <v>0</v>
      </c>
      <c r="AC24" s="23">
        <f>IF(C24&lt;&gt;"",SUMIF(Resultados!$C$632:$C$657,'Temporada 2025'!C24,Resultados!$F$632:$F$657),"")</f>
        <v>0</v>
      </c>
      <c r="AD24" s="23">
        <f>IF(C24&lt;&gt;"",SUMIF(Resultados!$C$661:$C$709,'Temporada 2025'!C24,Resultados!$F$661:$F$709),"")</f>
        <v>0</v>
      </c>
      <c r="AE24" s="23">
        <f>IF(C24&lt;&gt;"",SUMIF(Resultados!$C$712:$C$737,'Temporada 2025'!C24,Resultados!$F$712:$F$737),"")</f>
        <v>0</v>
      </c>
      <c r="AF24" s="23">
        <f>IF(C24&lt;&gt;"",SUMIF(Resultados!$C$741:$C$789,'Temporada 2025'!C24,Resultados!$F$741:$F$789),"")</f>
        <v>0</v>
      </c>
      <c r="AG24" s="23">
        <f>IF(C24&lt;&gt;"",SUMIF(Resultados!$C$792:$C$817,'Temporada 2025'!C24,Resultados!$F$792:$F$817),"")</f>
        <v>0</v>
      </c>
    </row>
    <row r="25" spans="2:33" x14ac:dyDescent="0.2">
      <c r="B25" s="26">
        <f>IF('Equipes e Pilotos'!B20&lt;&gt;"",'Equipes e Pilotos'!B20,"")</f>
        <v>18</v>
      </c>
      <c r="C25" s="24" t="str">
        <f>VLOOKUP(B25,'Dummy Table'!$A$3:$B$30,2,FALSE)</f>
        <v>Pierre Gasly</v>
      </c>
      <c r="D25" s="28" t="str">
        <f>VLOOKUP(B25,'Dummy Table'!$A$3:$C$30,3,FALSE)</f>
        <v>França</v>
      </c>
      <c r="E25" s="28" t="str">
        <f>VLOOKUP(B25,'Dummy Table'!$A$3:$D$30,4,FALSE)</f>
        <v>Alpine</v>
      </c>
      <c r="F25" s="29" t="str">
        <f>IF(C25&lt;&gt;"",IF(G25+Resultados!$K$35&gt;$G$8,"J","L"),"")</f>
        <v>L</v>
      </c>
      <c r="G25" s="137">
        <f>VLOOKUP(B25,'Dummy Table'!$A$3:$E$30,5,FALSE)</f>
        <v>22</v>
      </c>
      <c r="H25" s="28">
        <f t="shared" si="0"/>
        <v>-386</v>
      </c>
      <c r="I25" s="30">
        <f>IF(B25="","",SUMIF(Resultados!$M$3:$M$30,C25,Resultados!$O$3:$O$30))</f>
        <v>0</v>
      </c>
      <c r="J25" s="23">
        <f>IF(C25&lt;&gt;"",SUMIF(Resultados!$C$4:$C$29,'Temporada 2025'!C25,Resultados!$F$4:$F$29),"")</f>
        <v>0</v>
      </c>
      <c r="K25" s="23">
        <f>IF(C25&lt;&gt;"",SUMIF(Resultados!$C$33:$C$81,'Temporada 2025'!C25,Resultados!$F$33:$F$81),"")</f>
        <v>0</v>
      </c>
      <c r="L25" s="23">
        <f>IF(C25&lt;&gt;"",SUMIF(Resultados!$C$84:$C$109,'Temporada 2025'!C25,Resultados!$F$84:$F$109),"")</f>
        <v>0</v>
      </c>
      <c r="M25" s="23">
        <f>IF(C25&lt;&gt;"",SUMIF(Resultados!$C$112:$C$137,'Temporada 2025'!C25,Resultados!$F$112:$F$137),"")</f>
        <v>6</v>
      </c>
      <c r="N25" s="23">
        <f>IF(C25&lt;&gt;"",SUMIF(Resultados!$C$140:$C$165,'Temporada 2025'!C25,Resultados!$F$140:$F$165),"")</f>
        <v>0</v>
      </c>
      <c r="O25" s="23">
        <f>IF(C25&lt;&gt;"",SUMIF(Resultados!$C$169:$C$217,'Temporada 2025'!C25,Resultados!$F$169:$F$217),"")</f>
        <v>1</v>
      </c>
      <c r="P25" s="23">
        <f>IF(C25&lt;&gt;"",SUMIF(Resultados!$C$220:$C$245,'Temporada 2025'!C25,Resultados!$F$220:$F$245),"")</f>
        <v>0</v>
      </c>
      <c r="Q25" s="23">
        <f>IF(C25&lt;&gt;"",SUMIF(Resultados!$C$248:$C$273,'Temporada 2025'!C25,Resultados!$F$248:$F$273),"")</f>
        <v>0</v>
      </c>
      <c r="R25" s="23">
        <f>IF(C25&lt;&gt;"",SUMIF(Resultados!$C$276:$C$301,'Temporada 2025'!C25,Resultados!$F$276:$F$301),"")</f>
        <v>4</v>
      </c>
      <c r="S25" s="23">
        <f>IF(C25&lt;&gt;"",SUMIF(Resultados!$C$304:$C$329,'Temporada 2025'!C25,Resultados!$F$304:$F$329),"")</f>
        <v>0</v>
      </c>
      <c r="T25" s="23">
        <f>IF(C25&lt;&gt;"",SUMIF(Resultados!$C$332:$C$357,'Temporada 2025'!C25,Resultados!$F$332:$F$357),"")</f>
        <v>0</v>
      </c>
      <c r="U25" s="23">
        <f>IF(C25&lt;&gt;"",SUMIF(Resultados!$C$360:$C$385,'Temporada 2025'!C25,Resultados!$F$360:$F$385),"")</f>
        <v>8</v>
      </c>
      <c r="V25" s="23">
        <f>IF(C25&lt;&gt;"",SUMIF(Resultados!$C$389:$C$437,'Temporada 2025'!C25,Resultados!$F$389:$F$437),"")</f>
        <v>1</v>
      </c>
      <c r="W25" s="23">
        <f>IF(C25&lt;&gt;"",SUMIF(Resultados!$C$440:$C$465,'Temporada 2025'!C25,Resultados!$F$440:$F$465),"")</f>
        <v>0</v>
      </c>
      <c r="X25" s="23">
        <f>IF(C25&lt;&gt;"",SUMIF(Resultados!$C$468:$C$493,'Temporada 2025'!C25,Resultados!$F$468:$F$493),"")</f>
        <v>0</v>
      </c>
      <c r="Y25" s="23">
        <f>IF(C25&lt;&gt;"",SUMIF(Resultados!$C$496:$C$521,'Temporada 2025'!C25,Resultados!$F$496:$F$521),"")</f>
        <v>0</v>
      </c>
      <c r="Z25" s="23">
        <f>IF(C25&lt;&gt;"",SUMIF(Resultados!$C$524:$C$549,'Temporada 2025'!C25,Resultados!$F$524:$F$549),"")</f>
        <v>0</v>
      </c>
      <c r="AA25" s="23">
        <f>IF(C25&lt;&gt;"",SUMIF(Resultados!$C$552:$C$577,'Temporada 2025'!C25,Resultados!$F$552:$F$577),"")</f>
        <v>0</v>
      </c>
      <c r="AB25" s="23">
        <f>IF(C25&lt;&gt;"",SUMIF(Resultados!$C$581:$C$629,'Temporada 2025'!C25,Resultados!$F$581:$F$629),"")</f>
        <v>0</v>
      </c>
      <c r="AC25" s="23">
        <f>IF(C25&lt;&gt;"",SUMIF(Resultados!$C$632:$C$657,'Temporada 2025'!C25,Resultados!$F$632:$F$657),"")</f>
        <v>0</v>
      </c>
      <c r="AD25" s="23">
        <f>IF(C25&lt;&gt;"",SUMIF(Resultados!$C$661:$C$709,'Temporada 2025'!C25,Resultados!$F$661:$F$709),"")</f>
        <v>2</v>
      </c>
      <c r="AE25" s="23">
        <f>IF(C25&lt;&gt;"",SUMIF(Resultados!$C$712:$C$737,'Temporada 2025'!C25,Resultados!$F$712:$F$737),"")</f>
        <v>0</v>
      </c>
      <c r="AF25" s="23">
        <f>IF(C25&lt;&gt;"",SUMIF(Resultados!$C$741:$C$789,'Temporada 2025'!C25,Resultados!$F$741:$F$789),"")</f>
        <v>0</v>
      </c>
      <c r="AG25" s="23">
        <f>IF(C25&lt;&gt;"",SUMIF(Resultados!$C$792:$C$817,'Temporada 2025'!C25,Resultados!$F$792:$F$817),"")</f>
        <v>0</v>
      </c>
    </row>
    <row r="26" spans="2:33" x14ac:dyDescent="0.2">
      <c r="B26" s="26">
        <f>IF('Equipes e Pilotos'!B21&lt;&gt;"",'Equipes e Pilotos'!B21,"")</f>
        <v>19</v>
      </c>
      <c r="C26" s="24" t="str">
        <f>VLOOKUP(B26,'Dummy Table'!$A$3:$B$30,2,FALSE)</f>
        <v>Gabriel Bortoleto</v>
      </c>
      <c r="D26" s="28" t="str">
        <f>VLOOKUP(B26,'Dummy Table'!$A$3:$C$30,3,FALSE)</f>
        <v>Brasil</v>
      </c>
      <c r="E26" s="28" t="str">
        <f>VLOOKUP(B26,'Dummy Table'!$A$3:$D$30,4,FALSE)</f>
        <v>Kick Sauber</v>
      </c>
      <c r="F26" s="29" t="str">
        <f>IF(C26&lt;&gt;"",IF(G26+Resultados!$K$35&gt;$G$8,"J","L"),"")</f>
        <v>L</v>
      </c>
      <c r="G26" s="137">
        <f>VLOOKUP(B26,'Dummy Table'!$A$3:$E$30,5,FALSE)</f>
        <v>19</v>
      </c>
      <c r="H26" s="28">
        <f t="shared" si="0"/>
        <v>-389</v>
      </c>
      <c r="I26" s="30">
        <f>IF(B26="","",SUMIF(Resultados!$M$3:$M$30,C26,Resultados!$O$3:$O$30))</f>
        <v>0</v>
      </c>
      <c r="J26" s="23">
        <f>IF(C26&lt;&gt;"",SUMIF(Resultados!$C$4:$C$29,'Temporada 2025'!C26,Resultados!$F$4:$F$29),"")</f>
        <v>0</v>
      </c>
      <c r="K26" s="23">
        <f>IF(C26&lt;&gt;"",SUMIF(Resultados!$C$33:$C$81,'Temporada 2025'!C26,Resultados!$F$33:$F$81),"")</f>
        <v>0</v>
      </c>
      <c r="L26" s="23">
        <f>IF(C26&lt;&gt;"",SUMIF(Resultados!$C$84:$C$109,'Temporada 2025'!C26,Resultados!$F$84:$F$109),"")</f>
        <v>0</v>
      </c>
      <c r="M26" s="23">
        <f>IF(C26&lt;&gt;"",SUMIF(Resultados!$C$112:$C$137,'Temporada 2025'!C26,Resultados!$F$112:$F$137),"")</f>
        <v>0</v>
      </c>
      <c r="N26" s="23">
        <f>IF(C26&lt;&gt;"",SUMIF(Resultados!$C$140:$C$165,'Temporada 2025'!C26,Resultados!$F$140:$F$165),"")</f>
        <v>0</v>
      </c>
      <c r="O26" s="23">
        <f>IF(C26&lt;&gt;"",SUMIF(Resultados!$C$169:$C$217,'Temporada 2025'!C26,Resultados!$F$169:$F$217),"")</f>
        <v>0</v>
      </c>
      <c r="P26" s="23">
        <f>IF(C26&lt;&gt;"",SUMIF(Resultados!$C$220:$C$245,'Temporada 2025'!C26,Resultados!$F$220:$F$245),"")</f>
        <v>0</v>
      </c>
      <c r="Q26" s="23">
        <f>IF(C26&lt;&gt;"",SUMIF(Resultados!$C$248:$C$273,'Temporada 2025'!C26,Resultados!$F$248:$F$273),"")</f>
        <v>0</v>
      </c>
      <c r="R26" s="23">
        <f>IF(C26&lt;&gt;"",SUMIF(Resultados!$C$276:$C$301,'Temporada 2025'!C26,Resultados!$F$276:$F$301),"")</f>
        <v>0</v>
      </c>
      <c r="S26" s="23">
        <f>IF(C26&lt;&gt;"",SUMIF(Resultados!$C$304:$C$329,'Temporada 2025'!C26,Resultados!$F$304:$F$329),"")</f>
        <v>0</v>
      </c>
      <c r="T26" s="23">
        <f>IF(C26&lt;&gt;"",SUMIF(Resultados!$C$332:$C$357,'Temporada 2025'!C26,Resultados!$F$332:$F$357),"")</f>
        <v>4</v>
      </c>
      <c r="U26" s="23">
        <f>IF(C26&lt;&gt;"",SUMIF(Resultados!$C$360:$C$385,'Temporada 2025'!C26,Resultados!$F$360:$F$385),"")</f>
        <v>0</v>
      </c>
      <c r="V26" s="23">
        <f>IF(C26&lt;&gt;"",SUMIF(Resultados!$C$389:$C$437,'Temporada 2025'!C26,Resultados!$F$389:$F$437),"")</f>
        <v>2</v>
      </c>
      <c r="W26" s="23">
        <f>IF(C26&lt;&gt;"",SUMIF(Resultados!$C$440:$C$465,'Temporada 2025'!C26,Resultados!$F$440:$F$465),"")</f>
        <v>8</v>
      </c>
      <c r="X26" s="23">
        <f>IF(C26&lt;&gt;"",SUMIF(Resultados!$C$468:$C$493,'Temporada 2025'!C26,Resultados!$F$468:$F$493),"")</f>
        <v>0</v>
      </c>
      <c r="Y26" s="23">
        <f>IF(C26&lt;&gt;"",SUMIF(Resultados!$C$496:$C$521,'Temporada 2025'!C26,Resultados!$F$496:$F$521),"")</f>
        <v>4</v>
      </c>
      <c r="Z26" s="23">
        <f>IF(C26&lt;&gt;"",SUMIF(Resultados!$C$524:$C$549,'Temporada 2025'!C26,Resultados!$F$524:$F$549),"")</f>
        <v>0</v>
      </c>
      <c r="AA26" s="23">
        <f>IF(C26&lt;&gt;"",SUMIF(Resultados!$C$552:$C$577,'Temporada 2025'!C26,Resultados!$F$552:$F$577),"")</f>
        <v>0</v>
      </c>
      <c r="AB26" s="23">
        <f>IF(C26&lt;&gt;"",SUMIF(Resultados!$C$581:$C$629,'Temporada 2025'!C26,Resultados!$F$581:$F$629),"")</f>
        <v>0</v>
      </c>
      <c r="AC26" s="23">
        <f>IF(C26&lt;&gt;"",SUMIF(Resultados!$C$632:$C$657,'Temporada 2025'!C26,Resultados!$F$632:$F$657),"")</f>
        <v>1</v>
      </c>
      <c r="AD26" s="23">
        <f>IF(C26&lt;&gt;"",SUMIF(Resultados!$C$661:$C$709,'Temporada 2025'!C26,Resultados!$F$661:$F$709),"")</f>
        <v>0</v>
      </c>
      <c r="AE26" s="23">
        <f>IF(C26&lt;&gt;"",SUMIF(Resultados!$C$712:$C$737,'Temporada 2025'!C26,Resultados!$F$712:$F$737),"")</f>
        <v>0</v>
      </c>
      <c r="AF26" s="23">
        <f>IF(C26&lt;&gt;"",SUMIF(Resultados!$C$741:$C$789,'Temporada 2025'!C26,Resultados!$F$741:$F$789),"")</f>
        <v>0</v>
      </c>
      <c r="AG26" s="23">
        <f>IF(C26&lt;&gt;"",SUMIF(Resultados!$C$792:$C$817,'Temporada 2025'!C26,Resultados!$F$792:$F$817),"")</f>
        <v>0</v>
      </c>
    </row>
    <row r="27" spans="2:33" x14ac:dyDescent="0.2">
      <c r="B27" s="26">
        <f>IF('Equipes e Pilotos'!B22&lt;&gt;"",'Equipes e Pilotos'!B22,"")</f>
        <v>20</v>
      </c>
      <c r="C27" s="24" t="str">
        <f>VLOOKUP(B27,'Dummy Table'!$A$3:$B$30,2,FALSE)</f>
        <v>Franco Colapinto</v>
      </c>
      <c r="D27" s="28" t="str">
        <f>VLOOKUP(B27,'Dummy Table'!$A$3:$C$30,3,FALSE)</f>
        <v>Argentina</v>
      </c>
      <c r="E27" s="28" t="str">
        <f>VLOOKUP(B27,'Dummy Table'!$A$3:$D$30,4,FALSE)</f>
        <v>Alpine</v>
      </c>
      <c r="F27" s="29" t="str">
        <f>IF(C27&lt;&gt;"",IF(G27+Resultados!$K$35&gt;$G$8,"J","L"),"")</f>
        <v>L</v>
      </c>
      <c r="G27" s="137">
        <f>VLOOKUP(B27,'Dummy Table'!$A$3:$E$30,5,FALSE)</f>
        <v>0</v>
      </c>
      <c r="H27" s="28">
        <f t="shared" si="0"/>
        <v>-408</v>
      </c>
      <c r="I27" s="30">
        <f>IF(B27="","",SUMIF(Resultados!$M$3:$M$30,C27,Resultados!$O$3:$O$30))</f>
        <v>0</v>
      </c>
      <c r="J27" s="23">
        <f>IF(C27&lt;&gt;"",SUMIF(Resultados!$C$4:$C$29,'Temporada 2025'!C27,Resultados!$F$4:$F$29),"")</f>
        <v>0</v>
      </c>
      <c r="K27" s="23">
        <f>IF(C27&lt;&gt;"",SUMIF(Resultados!$C$33:$C$81,'Temporada 2025'!C27,Resultados!$F$33:$F$81),"")</f>
        <v>0</v>
      </c>
      <c r="L27" s="23">
        <f>IF(C27&lt;&gt;"",SUMIF(Resultados!$C$84:$C$109,'Temporada 2025'!C27,Resultados!$F$84:$F$109),"")</f>
        <v>0</v>
      </c>
      <c r="M27" s="23">
        <f>IF(C27&lt;&gt;"",SUMIF(Resultados!$C$112:$C$137,'Temporada 2025'!C27,Resultados!$F$112:$F$137),"")</f>
        <v>0</v>
      </c>
      <c r="N27" s="23">
        <f>IF(C27&lt;&gt;"",SUMIF(Resultados!$C$140:$C$165,'Temporada 2025'!C27,Resultados!$F$140:$F$165),"")</f>
        <v>0</v>
      </c>
      <c r="O27" s="23">
        <f>IF(C27&lt;&gt;"",SUMIF(Resultados!$C$169:$C$217,'Temporada 2025'!C27,Resultados!$F$169:$F$217),"")</f>
        <v>0</v>
      </c>
      <c r="P27" s="23">
        <f>IF(C27&lt;&gt;"",SUMIF(Resultados!$C$220:$C$245,'Temporada 2025'!C27,Resultados!$F$220:$F$245),"")</f>
        <v>0</v>
      </c>
      <c r="Q27" s="23">
        <f>IF(C27&lt;&gt;"",SUMIF(Resultados!$C$248:$C$273,'Temporada 2025'!C27,Resultados!$F$248:$F$273),"")</f>
        <v>0</v>
      </c>
      <c r="R27" s="23">
        <f>IF(C27&lt;&gt;"",SUMIF(Resultados!$C$276:$C$301,'Temporada 2025'!C27,Resultados!$F$276:$F$301),"")</f>
        <v>0</v>
      </c>
      <c r="S27" s="23">
        <f>IF(C27&lt;&gt;"",SUMIF(Resultados!$C$304:$C$329,'Temporada 2025'!C27,Resultados!$F$304:$F$329),"")</f>
        <v>0</v>
      </c>
      <c r="T27" s="23">
        <f>IF(C27&lt;&gt;"",SUMIF(Resultados!$C$332:$C$357,'Temporada 2025'!C27,Resultados!$F$332:$F$357),"")</f>
        <v>0</v>
      </c>
      <c r="U27" s="23">
        <f>IF(C27&lt;&gt;"",SUMIF(Resultados!$C$360:$C$385,'Temporada 2025'!C27,Resultados!$F$360:$F$385),"")</f>
        <v>0</v>
      </c>
      <c r="V27" s="23">
        <f>IF(C27&lt;&gt;"",SUMIF(Resultados!$C$389:$C$437,'Temporada 2025'!C27,Resultados!$F$389:$F$437),"")</f>
        <v>0</v>
      </c>
      <c r="W27" s="23">
        <f>IF(C27&lt;&gt;"",SUMIF(Resultados!$C$440:$C$465,'Temporada 2025'!C27,Resultados!$F$440:$F$465),"")</f>
        <v>0</v>
      </c>
      <c r="X27" s="23">
        <f>IF(C27&lt;&gt;"",SUMIF(Resultados!$C$468:$C$493,'Temporada 2025'!C27,Resultados!$F$468:$F$493),"")</f>
        <v>0</v>
      </c>
      <c r="Y27" s="23">
        <f>IF(C27&lt;&gt;"",SUMIF(Resultados!$C$496:$C$521,'Temporada 2025'!C27,Resultados!$F$496:$F$521),"")</f>
        <v>0</v>
      </c>
      <c r="Z27" s="23">
        <f>IF(C27&lt;&gt;"",SUMIF(Resultados!$C$524:$C$549,'Temporada 2025'!C27,Resultados!$F$524:$F$549),"")</f>
        <v>0</v>
      </c>
      <c r="AA27" s="23">
        <f>IF(C27&lt;&gt;"",SUMIF(Resultados!$C$552:$C$577,'Temporada 2025'!C27,Resultados!$F$552:$F$577),"")</f>
        <v>0</v>
      </c>
      <c r="AB27" s="23">
        <f>IF(C27&lt;&gt;"",SUMIF(Resultados!$C$581:$C$629,'Temporada 2025'!C27,Resultados!$F$581:$F$629),"")</f>
        <v>0</v>
      </c>
      <c r="AC27" s="23">
        <f>IF(C27&lt;&gt;"",SUMIF(Resultados!$C$632:$C$657,'Temporada 2025'!C27,Resultados!$F$632:$F$657),"")</f>
        <v>0</v>
      </c>
      <c r="AD27" s="23">
        <f>IF(C27&lt;&gt;"",SUMIF(Resultados!$C$661:$C$709,'Temporada 2025'!C27,Resultados!$F$661:$F$709),"")</f>
        <v>0</v>
      </c>
      <c r="AE27" s="23">
        <f>IF(C27&lt;&gt;"",SUMIF(Resultados!$C$712:$C$737,'Temporada 2025'!C27,Resultados!$F$712:$F$737),"")</f>
        <v>0</v>
      </c>
      <c r="AF27" s="23">
        <f>IF(C27&lt;&gt;"",SUMIF(Resultados!$C$741:$C$789,'Temporada 2025'!C27,Resultados!$F$741:$F$789),"")</f>
        <v>0</v>
      </c>
      <c r="AG27" s="23">
        <f>IF(C27&lt;&gt;"",SUMIF(Resultados!$C$792:$C$817,'Temporada 2025'!C27,Resultados!$F$792:$F$817),"")</f>
        <v>0</v>
      </c>
    </row>
    <row r="28" spans="2:33" x14ac:dyDescent="0.2">
      <c r="B28" s="26">
        <f>IF('Equipes e Pilotos'!B23&lt;&gt;"",'Equipes e Pilotos'!B23,"")</f>
        <v>21</v>
      </c>
      <c r="C28" s="24" t="str">
        <f>VLOOKUP(B28,'Dummy Table'!$A$3:$B$30,2,FALSE)</f>
        <v>Jack Doohan</v>
      </c>
      <c r="D28" s="28" t="str">
        <f>VLOOKUP(B28,'Dummy Table'!$A$3:$C$30,3,FALSE)</f>
        <v>Austrália</v>
      </c>
      <c r="E28" s="28" t="str">
        <f>VLOOKUP(B28,'Dummy Table'!$A$3:$D$30,4,FALSE)</f>
        <v>Alpine</v>
      </c>
      <c r="F28" s="29" t="str">
        <f>IF(C28&lt;&gt;"",IF(G28+Resultados!$K$35&gt;$G$8,"J","L"),"")</f>
        <v>L</v>
      </c>
      <c r="G28" s="137">
        <f>VLOOKUP(B28,'Dummy Table'!$A$3:$E$30,5,FALSE)</f>
        <v>0</v>
      </c>
      <c r="H28" s="28">
        <f t="shared" si="0"/>
        <v>-408</v>
      </c>
      <c r="I28" s="30">
        <f>IF(B28="","",SUMIF(Resultados!$M$3:$M$30,C28,Resultados!$O$3:$O$30))</f>
        <v>0</v>
      </c>
      <c r="J28" s="23">
        <f>IF(C28&lt;&gt;"",SUMIF(Resultados!$C$4:$C$29,'Temporada 2025'!C28,Resultados!$F$4:$F$29),"")</f>
        <v>0</v>
      </c>
      <c r="K28" s="23">
        <f>IF(C28&lt;&gt;"",SUMIF(Resultados!$C$33:$C$81,'Temporada 2025'!C28,Resultados!$F$33:$F$81),"")</f>
        <v>0</v>
      </c>
      <c r="L28" s="23">
        <f>IF(C28&lt;&gt;"",SUMIF(Resultados!$C$84:$C$109,'Temporada 2025'!C28,Resultados!$F$84:$F$109),"")</f>
        <v>0</v>
      </c>
      <c r="M28" s="23">
        <f>IF(C28&lt;&gt;"",SUMIF(Resultados!$C$112:$C$137,'Temporada 2025'!C28,Resultados!$F$112:$F$137),"")</f>
        <v>0</v>
      </c>
      <c r="N28" s="23">
        <f>IF(C28&lt;&gt;"",SUMIF(Resultados!$C$140:$C$165,'Temporada 2025'!C28,Resultados!$F$140:$F$165),"")</f>
        <v>0</v>
      </c>
      <c r="O28" s="23">
        <f>IF(C28&lt;&gt;"",SUMIF(Resultados!$C$169:$C$217,'Temporada 2025'!C28,Resultados!$F$169:$F$217),"")</f>
        <v>0</v>
      </c>
      <c r="P28" s="23">
        <f>IF(C28&lt;&gt;"",SUMIF(Resultados!$C$220:$C$245,'Temporada 2025'!C28,Resultados!$F$220:$F$245),"")</f>
        <v>0</v>
      </c>
      <c r="Q28" s="23">
        <f>IF(C28&lt;&gt;"",SUMIF(Resultados!$C$248:$C$273,'Temporada 2025'!C28,Resultados!$F$248:$F$273),"")</f>
        <v>0</v>
      </c>
      <c r="R28" s="23">
        <f>IF(C28&lt;&gt;"",SUMIF(Resultados!$C$276:$C$301,'Temporada 2025'!C28,Resultados!$F$276:$F$301),"")</f>
        <v>0</v>
      </c>
      <c r="S28" s="23">
        <f>IF(C28&lt;&gt;"",SUMIF(Resultados!$C$304:$C$329,'Temporada 2025'!C28,Resultados!$F$304:$F$329),"")</f>
        <v>0</v>
      </c>
      <c r="T28" s="23">
        <f>IF(C28&lt;&gt;"",SUMIF(Resultados!$C$332:$C$357,'Temporada 2025'!C28,Resultados!$F$332:$F$357),"")</f>
        <v>0</v>
      </c>
      <c r="U28" s="23">
        <f>IF(C28&lt;&gt;"",SUMIF(Resultados!$C$360:$C$385,'Temporada 2025'!C28,Resultados!$F$360:$F$385),"")</f>
        <v>0</v>
      </c>
      <c r="V28" s="23">
        <f>IF(C28&lt;&gt;"",SUMIF(Resultados!$C$389:$C$437,'Temporada 2025'!C28,Resultados!$F$389:$F$437),"")</f>
        <v>0</v>
      </c>
      <c r="W28" s="23">
        <f>IF(C28&lt;&gt;"",SUMIF(Resultados!$C$440:$C$465,'Temporada 2025'!C28,Resultados!$F$440:$F$465),"")</f>
        <v>0</v>
      </c>
      <c r="X28" s="23">
        <f>IF(C28&lt;&gt;"",SUMIF(Resultados!$C$468:$C$493,'Temporada 2025'!C28,Resultados!$F$468:$F$493),"")</f>
        <v>0</v>
      </c>
      <c r="Y28" s="23">
        <f>IF(C28&lt;&gt;"",SUMIF(Resultados!$C$496:$C$521,'Temporada 2025'!C28,Resultados!$F$496:$F$521),"")</f>
        <v>0</v>
      </c>
      <c r="Z28" s="23">
        <f>IF(C28&lt;&gt;"",SUMIF(Resultados!$C$524:$C$549,'Temporada 2025'!C28,Resultados!$F$524:$F$549),"")</f>
        <v>0</v>
      </c>
      <c r="AA28" s="23">
        <f>IF(C28&lt;&gt;"",SUMIF(Resultados!$C$552:$C$577,'Temporada 2025'!C28,Resultados!$F$552:$F$577),"")</f>
        <v>0</v>
      </c>
      <c r="AB28" s="23">
        <f>IF(C28&lt;&gt;"",SUMIF(Resultados!$C$581:$C$629,'Temporada 2025'!C28,Resultados!$F$581:$F$629),"")</f>
        <v>0</v>
      </c>
      <c r="AC28" s="23">
        <f>IF(C28&lt;&gt;"",SUMIF(Resultados!$C$632:$C$657,'Temporada 2025'!C28,Resultados!$F$632:$F$657),"")</f>
        <v>0</v>
      </c>
      <c r="AD28" s="23">
        <f>IF(C28&lt;&gt;"",SUMIF(Resultados!$C$661:$C$709,'Temporada 2025'!C28,Resultados!$F$661:$F$709),"")</f>
        <v>0</v>
      </c>
      <c r="AE28" s="23">
        <f>IF(C28&lt;&gt;"",SUMIF(Resultados!$C$712:$C$737,'Temporada 2025'!C28,Resultados!$F$712:$F$737),"")</f>
        <v>0</v>
      </c>
      <c r="AF28" s="23">
        <f>IF(C28&lt;&gt;"",SUMIF(Resultados!$C$741:$C$789,'Temporada 2025'!C28,Resultados!$F$741:$F$789),"")</f>
        <v>0</v>
      </c>
      <c r="AG28" s="23">
        <f>IF(C28&lt;&gt;"",SUMIF(Resultados!$C$792:$C$817,'Temporada 2025'!C28,Resultados!$F$792:$F$817),"")</f>
        <v>0</v>
      </c>
    </row>
    <row r="29" spans="2:33" x14ac:dyDescent="0.2">
      <c r="B29" s="26" t="str">
        <f>IF('Equipes e Pilotos'!B24&lt;&gt;"",'Equipes e Pilotos'!B24,"")</f>
        <v/>
      </c>
      <c r="C29" s="24" t="str">
        <f>VLOOKUP(B29,'Dummy Table'!$A$3:$B$30,2,FALSE)</f>
        <v/>
      </c>
      <c r="D29" s="28" t="str">
        <f>VLOOKUP(B29,'Dummy Table'!$A$3:$C$30,3,FALSE)</f>
        <v/>
      </c>
      <c r="E29" s="28" t="str">
        <f>VLOOKUP(B29,'Dummy Table'!$A$3:$D$30,4,FALSE)</f>
        <v/>
      </c>
      <c r="F29" s="29" t="str">
        <f>IF(C29&lt;&gt;"",IF(G29+Resultados!$K$35&gt;$G$8,"J","L"),"")</f>
        <v/>
      </c>
      <c r="G29" s="28" t="str">
        <f>VLOOKUP(B29,'Dummy Table'!$A$3:$E$30,5,FALSE)</f>
        <v/>
      </c>
      <c r="H29" s="28" t="str">
        <f t="shared" si="0"/>
        <v/>
      </c>
      <c r="I29" s="30" t="str">
        <f>IF(B29="","",SUMIF(Resultados!$M$3:$M$30,C29,Resultados!$O$3:$O$30))</f>
        <v/>
      </c>
      <c r="J29" s="23" t="str">
        <f>IF(C29&lt;&gt;"",SUMIF(Resultados!$C$4:$C$29,'Temporada 2025'!C29,Resultados!$F$4:$F$29),"")</f>
        <v/>
      </c>
      <c r="K29" s="23" t="str">
        <f>IF(C29&lt;&gt;"",SUMIF(Resultados!$C$33:$C$81,'Temporada 2025'!C29,Resultados!$F$33:$F$81),"")</f>
        <v/>
      </c>
      <c r="L29" s="23" t="str">
        <f>IF(C29&lt;&gt;"",SUMIF(Resultados!$C$84:$C$109,'Temporada 2025'!C29,Resultados!$F$84:$F$109),"")</f>
        <v/>
      </c>
      <c r="M29" s="23" t="str">
        <f>IF(C29&lt;&gt;"",SUMIF(Resultados!$C$112:$C$137,'Temporada 2025'!C29,Resultados!$F$112:$F$137),"")</f>
        <v/>
      </c>
      <c r="N29" s="23" t="str">
        <f>IF(C29&lt;&gt;"",SUMIF(Resultados!$C$140:$C$165,'Temporada 2025'!C29,Resultados!$F$140:$F$165),"")</f>
        <v/>
      </c>
      <c r="O29" s="23" t="str">
        <f>IF(C29&lt;&gt;"",SUMIF(Resultados!$C$169:$C$217,'Temporada 2025'!C29,Resultados!$F$169:$F$217),"")</f>
        <v/>
      </c>
      <c r="P29" s="23" t="str">
        <f>IF(C29&lt;&gt;"",SUMIF(Resultados!$C$220:$C$245,'Temporada 2025'!C29,Resultados!$F$220:$F$245),"")</f>
        <v/>
      </c>
      <c r="Q29" s="23" t="str">
        <f>IF(C29&lt;&gt;"",SUMIF(Resultados!$C$248:$C$273,'Temporada 2025'!C29,Resultados!$F$248:$F$273),"")</f>
        <v/>
      </c>
      <c r="R29" s="23" t="str">
        <f>IF(C29&lt;&gt;"",SUMIF(Resultados!$C$276:$C$301,'Temporada 2025'!C29,Resultados!$F$276:$F$301),"")</f>
        <v/>
      </c>
      <c r="S29" s="23" t="str">
        <f>IF(C29&lt;&gt;"",SUMIF(Resultados!$C$304:$C$329,'Temporada 2025'!C29,Resultados!$F$304:$F$329),"")</f>
        <v/>
      </c>
      <c r="T29" s="23" t="str">
        <f>IF(C29&lt;&gt;"",SUMIF(Resultados!$C$332:$C$357,'Temporada 2025'!C29,Resultados!$F$332:$F$357),"")</f>
        <v/>
      </c>
      <c r="U29" s="23" t="str">
        <f>IF(C29&lt;&gt;"",SUMIF(Resultados!$C$360:$C$385,'Temporada 2025'!C29,Resultados!$F$360:$F$385),"")</f>
        <v/>
      </c>
      <c r="V29" s="23" t="str">
        <f>IF(C29&lt;&gt;"",SUMIF(Resultados!$C$389:$C$437,'Temporada 2025'!C29,Resultados!$F$389:$F$437),"")</f>
        <v/>
      </c>
      <c r="W29" s="23" t="str">
        <f>IF(C29&lt;&gt;"",SUMIF(Resultados!$C$440:$C$465,'Temporada 2025'!C29,Resultados!$F$440:$F$465),"")</f>
        <v/>
      </c>
      <c r="X29" s="23" t="str">
        <f>IF(C29&lt;&gt;"",SUMIF(Resultados!$C$468:$C$493,'Temporada 2025'!C29,Resultados!$F$468:$F$493),"")</f>
        <v/>
      </c>
      <c r="Y29" s="23" t="str">
        <f>IF(C29&lt;&gt;"",SUMIF(Resultados!$C$496:$C$521,'Temporada 2025'!C29,Resultados!$F$496:$F$521),"")</f>
        <v/>
      </c>
      <c r="Z29" s="23" t="str">
        <f>IF(C29&lt;&gt;"",SUMIF(Resultados!$C$524:$C$549,'Temporada 2025'!C29,Resultados!$F$524:$F$549),"")</f>
        <v/>
      </c>
      <c r="AA29" s="23" t="str">
        <f>IF(C29&lt;&gt;"",SUMIF(Resultados!$C$552:$C$577,'Temporada 2025'!C29,Resultados!$F$552:$F$577),"")</f>
        <v/>
      </c>
      <c r="AB29" s="23" t="str">
        <f>IF(C29&lt;&gt;"",SUMIF(Resultados!$C$581:$C$629,'Temporada 2025'!C29,Resultados!$F$581:$F$629),"")</f>
        <v/>
      </c>
      <c r="AC29" s="23" t="str">
        <f>IF(C29&lt;&gt;"",SUMIF(Resultados!$C$632:$C$657,'Temporada 2025'!C29,Resultados!$F$632:$F$657),"")</f>
        <v/>
      </c>
      <c r="AD29" s="23" t="str">
        <f>IF(C29&lt;&gt;"",SUMIF(Resultados!$C$661:$C$709,'Temporada 2025'!C29,Resultados!$F$661:$F$709),"")</f>
        <v/>
      </c>
      <c r="AE29" s="23" t="str">
        <f>IF(C29&lt;&gt;"",SUMIF(Resultados!$C$712:$C$737,'Temporada 2025'!C29,Resultados!$F$712:$F$737),"")</f>
        <v/>
      </c>
      <c r="AF29" s="23" t="str">
        <f>IF(C29&lt;&gt;"",SUMIF(Resultados!$C$741:$C$789,'Temporada 2025'!C29,Resultados!$F$741:$F$789),"")</f>
        <v/>
      </c>
      <c r="AG29" s="23" t="str">
        <f>IF(C29&lt;&gt;"",SUMIF(Resultados!$C$792:$C$817,'Temporada 2025'!C29,Resultados!$F$792:$F$817),"")</f>
        <v/>
      </c>
    </row>
    <row r="30" spans="2:33" x14ac:dyDescent="0.2">
      <c r="B30" s="26" t="str">
        <f>IF('Equipes e Pilotos'!B25&lt;&gt;"",'Equipes e Pilotos'!B25,"")</f>
        <v/>
      </c>
      <c r="C30" s="24" t="str">
        <f>VLOOKUP(B30,'Dummy Table'!$A$3:$B$30,2,FALSE)</f>
        <v/>
      </c>
      <c r="D30" s="28" t="str">
        <f>VLOOKUP(B30,'Dummy Table'!$A$3:$C$30,3,FALSE)</f>
        <v/>
      </c>
      <c r="E30" s="28" t="str">
        <f>VLOOKUP(B30,'Dummy Table'!$A$3:$D$30,4,FALSE)</f>
        <v/>
      </c>
      <c r="F30" s="29" t="str">
        <f>IF(C30&lt;&gt;"",IF(G30+Resultados!$K$35&gt;$G$8,"J","L"),"")</f>
        <v/>
      </c>
      <c r="G30" s="28" t="str">
        <f>VLOOKUP(B30,'Dummy Table'!$A$3:$E$30,5,FALSE)</f>
        <v/>
      </c>
      <c r="H30" s="28" t="str">
        <f t="shared" si="0"/>
        <v/>
      </c>
      <c r="I30" s="30" t="str">
        <f>IF(B30="","",SUMIF(Resultados!$M$3:$M$30,C30,Resultados!$O$3:$O$30))</f>
        <v/>
      </c>
      <c r="J30" s="23" t="str">
        <f>IF(C30&lt;&gt;"",SUMIF(Resultados!$C$4:$C$29,'Temporada 2025'!C30,Resultados!$F$4:$F$29),"")</f>
        <v/>
      </c>
      <c r="K30" s="23" t="str">
        <f>IF(C30&lt;&gt;"",SUMIF(Resultados!$C$33:$C$81,'Temporada 2025'!C30,Resultados!$F$33:$F$81),"")</f>
        <v/>
      </c>
      <c r="L30" s="23" t="str">
        <f>IF(C30&lt;&gt;"",SUMIF(Resultados!$C$84:$C$109,'Temporada 2025'!C30,Resultados!$F$84:$F$109),"")</f>
        <v/>
      </c>
      <c r="M30" s="23" t="str">
        <f>IF(C30&lt;&gt;"",SUMIF(Resultados!$C$112:$C$137,'Temporada 2025'!C30,Resultados!$F$112:$F$137),"")</f>
        <v/>
      </c>
      <c r="N30" s="23" t="str">
        <f>IF(C30&lt;&gt;"",SUMIF(Resultados!$C$140:$C$165,'Temporada 2025'!C30,Resultados!$F$140:$F$165),"")</f>
        <v/>
      </c>
      <c r="O30" s="23" t="str">
        <f>IF(C30&lt;&gt;"",SUMIF(Resultados!$C$169:$C$217,'Temporada 2025'!C30,Resultados!$F$169:$F$217),"")</f>
        <v/>
      </c>
      <c r="P30" s="23" t="str">
        <f>IF(C30&lt;&gt;"",SUMIF(Resultados!$C$220:$C$245,'Temporada 2025'!C30,Resultados!$F$220:$F$245),"")</f>
        <v/>
      </c>
      <c r="Q30" s="23" t="str">
        <f>IF(C30&lt;&gt;"",SUMIF(Resultados!$C$248:$C$273,'Temporada 2025'!C30,Resultados!$F$248:$F$273),"")</f>
        <v/>
      </c>
      <c r="R30" s="23" t="str">
        <f>IF(C30&lt;&gt;"",SUMIF(Resultados!$C$276:$C$301,'Temporada 2025'!C30,Resultados!$F$276:$F$301),"")</f>
        <v/>
      </c>
      <c r="S30" s="23" t="str">
        <f>IF(C30&lt;&gt;"",SUMIF(Resultados!$C$304:$C$329,'Temporada 2025'!C30,Resultados!$F$304:$F$329),"")</f>
        <v/>
      </c>
      <c r="T30" s="23" t="str">
        <f>IF(C30&lt;&gt;"",SUMIF(Resultados!$C$332:$C$357,'Temporada 2025'!C30,Resultados!$F$332:$F$357),"")</f>
        <v/>
      </c>
      <c r="U30" s="23" t="str">
        <f>IF(C30&lt;&gt;"",SUMIF(Resultados!$C$360:$C$385,'Temporada 2025'!C30,Resultados!$F$360:$F$385),"")</f>
        <v/>
      </c>
      <c r="V30" s="23" t="str">
        <f>IF(C30&lt;&gt;"",SUMIF(Resultados!$C$389:$C$437,'Temporada 2025'!C30,Resultados!$F$389:$F$437),"")</f>
        <v/>
      </c>
      <c r="W30" s="23" t="str">
        <f>IF(C30&lt;&gt;"",SUMIF(Resultados!$C$440:$C$465,'Temporada 2025'!C30,Resultados!$F$440:$F$465),"")</f>
        <v/>
      </c>
      <c r="X30" s="23" t="str">
        <f>IF(C30&lt;&gt;"",SUMIF(Resultados!$C$468:$C$493,'Temporada 2025'!C30,Resultados!$F$468:$F$493),"")</f>
        <v/>
      </c>
      <c r="Y30" s="23" t="str">
        <f>IF(C30&lt;&gt;"",SUMIF(Resultados!$C$496:$C$521,'Temporada 2025'!C30,Resultados!$F$496:$F$521),"")</f>
        <v/>
      </c>
      <c r="Z30" s="23" t="str">
        <f>IF(C30&lt;&gt;"",SUMIF(Resultados!$C$524:$C$549,'Temporada 2025'!C30,Resultados!$F$524:$F$549),"")</f>
        <v/>
      </c>
      <c r="AA30" s="23" t="str">
        <f>IF(C30&lt;&gt;"",SUMIF(Resultados!$C$552:$C$577,'Temporada 2025'!C30,Resultados!$F$552:$F$577),"")</f>
        <v/>
      </c>
      <c r="AB30" s="23" t="str">
        <f>IF(C30&lt;&gt;"",SUMIF(Resultados!$C$581:$C$629,'Temporada 2025'!C30,Resultados!$F$581:$F$629),"")</f>
        <v/>
      </c>
      <c r="AC30" s="23" t="str">
        <f>IF(C30&lt;&gt;"",SUMIF(Resultados!$C$632:$C$657,'Temporada 2025'!C30,Resultados!$F$632:$F$657),"")</f>
        <v/>
      </c>
      <c r="AD30" s="23" t="str">
        <f>IF(C30&lt;&gt;"",SUMIF(Resultados!$C$661:$C$709,'Temporada 2025'!C30,Resultados!$F$661:$F$709),"")</f>
        <v/>
      </c>
      <c r="AE30" s="23" t="str">
        <f>IF(C30&lt;&gt;"",SUMIF(Resultados!$C$712:$C$737,'Temporada 2025'!C30,Resultados!$F$712:$F$737),"")</f>
        <v/>
      </c>
      <c r="AF30" s="23" t="str">
        <f>IF(C30&lt;&gt;"",SUMIF(Resultados!$C$741:$C$789,'Temporada 2025'!C30,Resultados!$F$741:$F$789),"")</f>
        <v/>
      </c>
      <c r="AG30" s="23" t="str">
        <f>IF(C30&lt;&gt;"",SUMIF(Resultados!$C$792:$C$817,'Temporada 2025'!C30,Resultados!$F$792:$F$817),"")</f>
        <v/>
      </c>
    </row>
    <row r="31" spans="2:33" x14ac:dyDescent="0.2">
      <c r="B31" s="26" t="str">
        <f>IF('Equipes e Pilotos'!B14&lt;&gt;"",'Equipes e Pilotos'!B26,"")</f>
        <v/>
      </c>
      <c r="C31" s="24" t="str">
        <f>VLOOKUP(B31,'Dummy Table'!$A$3:$B$30,2,FALSE)</f>
        <v/>
      </c>
      <c r="D31" s="28" t="str">
        <f>VLOOKUP(B31,'Dummy Table'!$A$3:$C$30,3,FALSE)</f>
        <v/>
      </c>
      <c r="E31" s="28" t="str">
        <f>VLOOKUP(B31,'Dummy Table'!$A$3:$D$30,4,FALSE)</f>
        <v/>
      </c>
      <c r="F31" s="29" t="str">
        <f>IF(C31&lt;&gt;"",IF(G31+Resultados!$K$35&gt;$G$8,"J","L"),"")</f>
        <v/>
      </c>
      <c r="G31" s="28" t="str">
        <f>VLOOKUP(B31,'Dummy Table'!$A$3:$E$30,5,FALSE)</f>
        <v/>
      </c>
      <c r="H31" s="28" t="str">
        <f t="shared" si="0"/>
        <v/>
      </c>
      <c r="I31" s="30" t="str">
        <f>IF(B31="","",SUMIF(Resultados!$M$3:$M$30,C31,Resultados!$O$3:$O$30))</f>
        <v/>
      </c>
      <c r="J31" s="23" t="str">
        <f>IF(C31&lt;&gt;"",SUMIF(Resultados!$C$4:$C$29,'Temporada 2025'!C31,Resultados!$F$4:$F$29),"")</f>
        <v/>
      </c>
      <c r="K31" s="23" t="str">
        <f>IF(C31&lt;&gt;"",SUMIF(Resultados!$C$33:$C$81,'Temporada 2025'!C31,Resultados!$F$33:$F$81),"")</f>
        <v/>
      </c>
      <c r="L31" s="23" t="str">
        <f>IF(C31&lt;&gt;"",SUMIF(Resultados!$C$84:$C$109,'Temporada 2025'!C31,Resultados!$F$84:$F$109),"")</f>
        <v/>
      </c>
      <c r="M31" s="23" t="str">
        <f>IF(C31&lt;&gt;"",SUMIF(Resultados!$C$112:$C$137,'Temporada 2025'!C31,Resultados!$F$112:$F$137),"")</f>
        <v/>
      </c>
      <c r="N31" s="23" t="str">
        <f>IF(C31&lt;&gt;"",SUMIF(Resultados!$C$140:$C$165,'Temporada 2025'!C31,Resultados!$F$140:$F$165),"")</f>
        <v/>
      </c>
      <c r="O31" s="23" t="str">
        <f>IF(C31&lt;&gt;"",SUMIF(Resultados!$C$169:$C$217,'Temporada 2025'!C31,Resultados!$F$169:$F$217),"")</f>
        <v/>
      </c>
      <c r="P31" s="23" t="str">
        <f>IF(C31&lt;&gt;"",SUMIF(Resultados!$C$220:$C$245,'Temporada 2025'!C31,Resultados!$F$220:$F$245),"")</f>
        <v/>
      </c>
      <c r="Q31" s="23" t="str">
        <f>IF(C31&lt;&gt;"",SUMIF(Resultados!$C$248:$C$273,'Temporada 2025'!C31,Resultados!$F$248:$F$273),"")</f>
        <v/>
      </c>
      <c r="R31" s="23" t="str">
        <f>IF(C31&lt;&gt;"",SUMIF(Resultados!$C$276:$C$301,'Temporada 2025'!C31,Resultados!$F$276:$F$301),"")</f>
        <v/>
      </c>
      <c r="S31" s="23" t="str">
        <f>IF(C31&lt;&gt;"",SUMIF(Resultados!$C$304:$C$329,'Temporada 2025'!C31,Resultados!$F$304:$F$329),"")</f>
        <v/>
      </c>
      <c r="T31" s="23" t="str">
        <f>IF(C31&lt;&gt;"",SUMIF(Resultados!$C$332:$C$357,'Temporada 2025'!C31,Resultados!$F$332:$F$357),"")</f>
        <v/>
      </c>
      <c r="U31" s="23" t="str">
        <f>IF(C31&lt;&gt;"",SUMIF(Resultados!$C$360:$C$385,'Temporada 2025'!C31,Resultados!$F$360:$F$385),"")</f>
        <v/>
      </c>
      <c r="V31" s="23" t="str">
        <f>IF(C31&lt;&gt;"",SUMIF(Resultados!$C$389:$C$437,'Temporada 2025'!C31,Resultados!$F$389:$F$437),"")</f>
        <v/>
      </c>
      <c r="W31" s="23" t="str">
        <f>IF(C31&lt;&gt;"",SUMIF(Resultados!$C$440:$C$465,'Temporada 2025'!C31,Resultados!$F$440:$F$465),"")</f>
        <v/>
      </c>
      <c r="X31" s="23" t="str">
        <f>IF(C31&lt;&gt;"",SUMIF(Resultados!$C$468:$C$493,'Temporada 2025'!C31,Resultados!$F$468:$F$493),"")</f>
        <v/>
      </c>
      <c r="Y31" s="23" t="str">
        <f>IF(C31&lt;&gt;"",SUMIF(Resultados!$C$496:$C$521,'Temporada 2025'!C31,Resultados!$F$496:$F$521),"")</f>
        <v/>
      </c>
      <c r="Z31" s="23" t="str">
        <f>IF(C31&lt;&gt;"",SUMIF(Resultados!$C$524:$C$549,'Temporada 2025'!C31,Resultados!$F$524:$F$549),"")</f>
        <v/>
      </c>
      <c r="AA31" s="23" t="str">
        <f>IF(C31&lt;&gt;"",SUMIF(Resultados!$C$552:$C$577,'Temporada 2025'!C31,Resultados!$F$552:$F$577),"")</f>
        <v/>
      </c>
      <c r="AB31" s="23" t="str">
        <f>IF(C31&lt;&gt;"",SUMIF(Resultados!$C$581:$C$629,'Temporada 2025'!C31,Resultados!$F$581:$F$629),"")</f>
        <v/>
      </c>
      <c r="AC31" s="23" t="str">
        <f>IF(C31&lt;&gt;"",SUMIF(Resultados!$C$632:$C$657,'Temporada 2025'!C31,Resultados!$F$632:$F$657),"")</f>
        <v/>
      </c>
      <c r="AD31" s="23" t="str">
        <f>IF(C31&lt;&gt;"",SUMIF(Resultados!$C$661:$C$709,'Temporada 2025'!C31,Resultados!$F$661:$F$709),"")</f>
        <v/>
      </c>
      <c r="AE31" s="23" t="str">
        <f>IF(C31&lt;&gt;"",SUMIF(Resultados!$C$712:$C$737,'Temporada 2025'!C31,Resultados!$F$712:$F$737),"")</f>
        <v/>
      </c>
      <c r="AF31" s="23" t="str">
        <f>IF(C31&lt;&gt;"",SUMIF(Resultados!$C$741:$C$789,'Temporada 2025'!C31,Resultados!$F$741:$F$789),"")</f>
        <v/>
      </c>
      <c r="AG31" s="23" t="str">
        <f>IF(C31&lt;&gt;"",SUMIF(Resultados!$C$792:$C$817,'Temporada 2025'!C31,Resultados!$F$792:$F$817),"")</f>
        <v/>
      </c>
    </row>
    <row r="32" spans="2:33" hidden="1" x14ac:dyDescent="0.2">
      <c r="B32" s="21" t="str">
        <f>IF('Equipes e Pilotos'!B27&lt;&gt;"",'Equipes e Pilotos'!B27,"")</f>
        <v/>
      </c>
      <c r="C32" s="18" t="str">
        <f>VLOOKUP(B32,'Dummy Table'!$A$3:$B$30,2,FALSE)</f>
        <v/>
      </c>
      <c r="D32" s="19" t="str">
        <f>VLOOKUP(B32,'Dummy Table'!$A$3:$C$30,3,FALSE)</f>
        <v/>
      </c>
      <c r="E32" s="19" t="str">
        <f>VLOOKUP(B32,'Dummy Table'!$A$3:$D$30,4,FALSE)</f>
        <v/>
      </c>
      <c r="F32" s="20" t="str">
        <f>IF(C32&lt;&gt;"",IF(G32+Resultados!$K$35&gt;$G$8,"J",""),"")</f>
        <v/>
      </c>
      <c r="G32" s="19" t="str">
        <f>VLOOKUP(B32,'Dummy Table'!$A$3:$E$30,5,FALSE)</f>
        <v/>
      </c>
      <c r="H32" s="19"/>
      <c r="I32" s="21" t="str">
        <f>IF(B32="","",COUNTIF(J32:AC32,25))</f>
        <v/>
      </c>
      <c r="J32" s="21" t="str">
        <f>IF(C32&lt;&gt;"",SUMIF(Resultados!$C$4:$C$27,'Temporada 2025'!C32,Resultados!$F$4:$F$27),"")</f>
        <v/>
      </c>
      <c r="K32" s="21" t="str">
        <f>IF(C32&lt;&gt;"",SUMIF(Resultados!$C$56:$C$65,'Temporada 2025'!C32,Resultados!$F$56:$F$65),"")</f>
        <v/>
      </c>
      <c r="L32" s="21" t="str">
        <f>IF(C32&lt;&gt;"",SUMIF(Resultados!$C$84:$C$107,'Temporada 2025'!C32,Resultados!$F$84:$F$107),"")</f>
        <v/>
      </c>
      <c r="M32" s="21" t="str">
        <f>IF(C32&lt;&gt;"",SUMIF(Resultados!$C$112:$C$135,'Temporada 2025'!C32,Resultados!$F$112:$F$135),"")</f>
        <v/>
      </c>
      <c r="N32" s="21" t="str">
        <f>IF(C32&lt;&gt;"",SUMIF(Resultados!$C$140:$C$163,'Temporada 2025'!C32,Resultados!$F$140:$F$163),"")</f>
        <v/>
      </c>
      <c r="O32" s="21" t="str">
        <f>IF(C32&lt;&gt;"",SUMIF(Resultados!$C$192:$C$215,'Temporada 2025'!C32,Resultados!$F$192:$F$215),"")</f>
        <v/>
      </c>
      <c r="P32" s="21" t="str">
        <f>IF(C32&lt;&gt;"",SUMIF(Resultados!$C$220:$C$243,'Temporada 2025'!C32,Resultados!$F$220:$F$243),"")</f>
        <v/>
      </c>
      <c r="Q32" s="21" t="str">
        <f>IF(C32&lt;&gt;"",SUMIF(Resultados!$C$248:$C$271,'Temporada 2025'!C32,Resultados!$F$248:$F$271),"")</f>
        <v/>
      </c>
      <c r="R32" s="21" t="str">
        <f>IF(C32&lt;&gt;"",SUMIF(Resultados!$C$276:$C$299,'Temporada 2025'!C32,Resultados!$F$276:$F$299),"")</f>
        <v/>
      </c>
      <c r="S32" s="21" t="str">
        <f>IF(C32&lt;&gt;"",SUMIF(Resultados!$C$304:$C$327,'Temporada 2025'!C32,Resultados!$F$304:$F$327),"")</f>
        <v/>
      </c>
      <c r="T32" s="21" t="str">
        <f>IF(C32&lt;&gt;"",SUMIF(Resultados!$C$332:$C$355,'Temporada 2025'!C32,Resultados!$F$332:$F$355),"")</f>
        <v/>
      </c>
      <c r="U32" s="21" t="str">
        <f>IF(C32&lt;&gt;"",SUMIF(Resultados!$C$360:$C$383,'Temporada 2025'!C32,Resultados!$F$360:$F$383),"")</f>
        <v/>
      </c>
      <c r="V32" s="21" t="str">
        <f>IF(C32&lt;&gt;"",SUMIF(Resultados!$C$412:$C$435,'Temporada 2025'!C32,Resultados!$F$412:$F$435),"")</f>
        <v/>
      </c>
      <c r="W32" s="21" t="str">
        <f>IF(C32&lt;&gt;"",SUMIF(Resultados!$C$440:$C$463,'Temporada 2025'!C32,Resultados!$F$440:$F$463),"")</f>
        <v/>
      </c>
      <c r="X32" s="21" t="str">
        <f>IF(C32&lt;&gt;"",SUMIF(Resultados!$C$468:$C$491,'Temporada 2025'!C32,Resultados!$F$468:$F$491),"")</f>
        <v/>
      </c>
      <c r="Y32" s="21" t="str">
        <f>IF(C32&lt;&gt;"",SUMIF(Resultados!$C$496:$C$519,'Temporada 2025'!C32,Resultados!$F$496:$F$519),"")</f>
        <v/>
      </c>
      <c r="Z32" s="21" t="str">
        <f>IF(C32&lt;&gt;"",SUMIF(Resultados!$C$524:$C$547,'Temporada 2025'!C32,Resultados!$F$524:$F$547),"")</f>
        <v/>
      </c>
      <c r="AA32" s="21" t="str">
        <f>IF(C32&lt;&gt;"",SUMIF(Resultados!#REF!,'Temporada 2025'!C32,Resultados!#REF!),"")</f>
        <v/>
      </c>
      <c r="AB32" s="21" t="str">
        <f>IF(C32&lt;&gt;"",SUMIF(Resultados!#REF!,'Temporada 2025'!C32,Resultados!#REF!),"")</f>
        <v/>
      </c>
      <c r="AC32" s="21" t="str">
        <f>IF(C32&lt;&gt;"",SUMIF(Resultados!#REF!,'Temporada 2025'!C32,Resultados!#REF!),"")</f>
        <v/>
      </c>
      <c r="AD32" s="21" t="str">
        <f>IF(C32&lt;&gt;"",SUMIF(Resultados!#REF!,'Temporada 2025'!D32,Resultados!#REF!),"")</f>
        <v/>
      </c>
    </row>
    <row r="33" spans="2:33" hidden="1" x14ac:dyDescent="0.2">
      <c r="B33" s="21" t="str">
        <f>IF('Equipes e Pilotos'!B28&lt;&gt;"",'Equipes e Pilotos'!B28,"")</f>
        <v/>
      </c>
      <c r="C33" s="18" t="str">
        <f>VLOOKUP(B33,'Dummy Table'!$A$3:$B$30,2,FALSE)</f>
        <v/>
      </c>
      <c r="D33" s="19" t="str">
        <f>VLOOKUP(B33,'Dummy Table'!$A$3:$C$30,3,FALSE)</f>
        <v/>
      </c>
      <c r="E33" s="19" t="str">
        <f>VLOOKUP(B33,'Dummy Table'!$A$3:$D$30,4,FALSE)</f>
        <v/>
      </c>
      <c r="F33" s="20" t="str">
        <f>IF(C33&lt;&gt;"",IF(G33+Resultados!$K$35&gt;$G$8,"J",""),"")</f>
        <v/>
      </c>
      <c r="G33" s="19" t="str">
        <f>VLOOKUP(B33,'Dummy Table'!$A$3:$E$30,5,FALSE)</f>
        <v/>
      </c>
      <c r="H33" s="19"/>
      <c r="I33" s="21" t="str">
        <f>IF(B33="","",COUNTIF(J33:AC33,25))</f>
        <v/>
      </c>
      <c r="J33" s="21" t="str">
        <f>IF(C33&lt;&gt;"",SUMIF(Resultados!$C$4:$C$27,'Temporada 2025'!C33,Resultados!$F$4:$F$27),"")</f>
        <v/>
      </c>
      <c r="K33" s="21" t="str">
        <f>IF(C33&lt;&gt;"",SUMIF(Resultados!$C$56:$C$65,'Temporada 2025'!C33,Resultados!$F$56:$F$65),"")</f>
        <v/>
      </c>
      <c r="L33" s="21" t="str">
        <f>IF(C33&lt;&gt;"",SUMIF(Resultados!$C$84:$C$107,'Temporada 2025'!C33,Resultados!$F$84:$F$107),"")</f>
        <v/>
      </c>
      <c r="M33" s="21" t="str">
        <f>IF(C33&lt;&gt;"",SUMIF(Resultados!$C$112:$C$135,'Temporada 2025'!C33,Resultados!$F$112:$F$135),"")</f>
        <v/>
      </c>
      <c r="N33" s="21" t="str">
        <f>IF(C33&lt;&gt;"",SUMIF(Resultados!$C$140:$C$163,'Temporada 2025'!C33,Resultados!$F$140:$F$163),"")</f>
        <v/>
      </c>
      <c r="O33" s="21" t="str">
        <f>IF(C33&lt;&gt;"",SUMIF(Resultados!$C$192:$C$215,'Temporada 2025'!C33,Resultados!$F$192:$F$215),"")</f>
        <v/>
      </c>
      <c r="P33" s="21" t="str">
        <f>IF(C33&lt;&gt;"",SUMIF(Resultados!$C$220:$C$243,'Temporada 2025'!C33,Resultados!$F$220:$F$243),"")</f>
        <v/>
      </c>
      <c r="Q33" s="21" t="str">
        <f>IF(C33&lt;&gt;"",SUMIF(Resultados!$C$248:$C$271,'Temporada 2025'!C33,Resultados!$F$248:$F$271),"")</f>
        <v/>
      </c>
      <c r="R33" s="21" t="str">
        <f>IF(C33&lt;&gt;"",SUMIF(Resultados!$C$276:$C$299,'Temporada 2025'!C33,Resultados!$F$276:$F$299),"")</f>
        <v/>
      </c>
      <c r="S33" s="21" t="str">
        <f>IF(C33&lt;&gt;"",SUMIF(Resultados!$C$304:$C$327,'Temporada 2025'!C33,Resultados!$F$304:$F$327),"")</f>
        <v/>
      </c>
      <c r="T33" s="21" t="str">
        <f>IF(C33&lt;&gt;"",SUMIF(Resultados!$C$332:$C$355,'Temporada 2025'!C33,Resultados!$F$332:$F$355),"")</f>
        <v/>
      </c>
      <c r="U33" s="21" t="str">
        <f>IF(C33&lt;&gt;"",SUMIF(Resultados!$C$360:$C$383,'Temporada 2025'!C33,Resultados!$F$360:$F$383),"")</f>
        <v/>
      </c>
      <c r="V33" s="21" t="str">
        <f>IF(C33&lt;&gt;"",SUMIF(Resultados!$C$412:$C$435,'Temporada 2025'!C33,Resultados!$F$412:$F$435),"")</f>
        <v/>
      </c>
      <c r="W33" s="21" t="str">
        <f>IF(C33&lt;&gt;"",SUMIF(Resultados!$C$440:$C$463,'Temporada 2025'!C33,Resultados!$F$440:$F$463),"")</f>
        <v/>
      </c>
      <c r="X33" s="21" t="str">
        <f>IF(C33&lt;&gt;"",SUMIF(Resultados!$C$468:$C$491,'Temporada 2025'!C33,Resultados!$F$468:$F$491),"")</f>
        <v/>
      </c>
      <c r="Y33" s="21" t="str">
        <f>IF(C33&lt;&gt;"",SUMIF(Resultados!$C$496:$C$519,'Temporada 2025'!C33,Resultados!$F$496:$F$519),"")</f>
        <v/>
      </c>
      <c r="Z33" s="21" t="str">
        <f>IF(C33&lt;&gt;"",SUMIF(Resultados!$C$524:$C$547,'Temporada 2025'!C33,Resultados!$F$524:$F$547),"")</f>
        <v/>
      </c>
      <c r="AA33" s="21" t="str">
        <f>IF(C33&lt;&gt;"",SUMIF(Resultados!#REF!,'Temporada 2025'!C33,Resultados!#REF!),"")</f>
        <v/>
      </c>
      <c r="AB33" s="21" t="str">
        <f>IF(C33&lt;&gt;"",SUMIF(Resultados!#REF!,'Temporada 2025'!C33,Resultados!#REF!),"")</f>
        <v/>
      </c>
      <c r="AC33" s="21" t="str">
        <f>IF(C33&lt;&gt;"",SUMIF(Resultados!#REF!,'Temporada 2025'!C33,Resultados!#REF!),"")</f>
        <v/>
      </c>
      <c r="AD33" s="21" t="str">
        <f>IF(C33&lt;&gt;"",SUMIF(Resultados!#REF!,'Temporada 2025'!D33,Resultados!#REF!),"")</f>
        <v/>
      </c>
    </row>
    <row r="34" spans="2:33" hidden="1" x14ac:dyDescent="0.2">
      <c r="B34" s="21" t="str">
        <f>IF('Equipes e Pilotos'!B29&lt;&gt;"",'Equipes e Pilotos'!B29,"")</f>
        <v/>
      </c>
      <c r="C34" s="18" t="str">
        <f>VLOOKUP(B34,'Dummy Table'!$A$3:$B$30,2,FALSE)</f>
        <v/>
      </c>
      <c r="D34" s="19" t="str">
        <f>VLOOKUP(B34,'Dummy Table'!$A$3:$C$30,3,FALSE)</f>
        <v/>
      </c>
      <c r="E34" s="19" t="str">
        <f>VLOOKUP(B34,'Dummy Table'!$A$3:$D$30,4,FALSE)</f>
        <v/>
      </c>
      <c r="F34" s="20" t="str">
        <f>IF(C34&lt;&gt;"",IF(G34+Resultados!$K$35&gt;$G$8,"J",""),"")</f>
        <v/>
      </c>
      <c r="G34" s="19" t="str">
        <f>VLOOKUP(B34,'Dummy Table'!$A$3:$E$30,5,FALSE)</f>
        <v/>
      </c>
      <c r="H34" s="19"/>
      <c r="I34" s="21" t="str">
        <f>IF(B34="","",COUNTIF(J34:AC34,25))</f>
        <v/>
      </c>
      <c r="J34" s="21" t="str">
        <f>IF(C34&lt;&gt;"",SUMIF(Resultados!$C$4:$C$27,'Temporada 2025'!C34,Resultados!$F$4:$F$27),"")</f>
        <v/>
      </c>
      <c r="K34" s="21" t="str">
        <f>IF(C34&lt;&gt;"",SUMIF(Resultados!$C$56:$C$65,'Temporada 2025'!C34,Resultados!$F$56:$F$65),"")</f>
        <v/>
      </c>
      <c r="L34" s="21" t="str">
        <f>IF(C34&lt;&gt;"",SUMIF(Resultados!$C$84:$C$107,'Temporada 2025'!C34,Resultados!$F$84:$F$107),"")</f>
        <v/>
      </c>
      <c r="M34" s="21" t="str">
        <f>IF(C34&lt;&gt;"",SUMIF(Resultados!$C$112:$C$135,'Temporada 2025'!C34,Resultados!$F$112:$F$135),"")</f>
        <v/>
      </c>
      <c r="N34" s="21" t="str">
        <f>IF(C34&lt;&gt;"",SUMIF(Resultados!$C$140:$C$163,'Temporada 2025'!C34,Resultados!$F$140:$F$163),"")</f>
        <v/>
      </c>
      <c r="O34" s="21" t="str">
        <f>IF(C34&lt;&gt;"",SUMIF(Resultados!$C$192:$C$215,'Temporada 2025'!C34,Resultados!$F$192:$F$215),"")</f>
        <v/>
      </c>
      <c r="P34" s="21" t="str">
        <f>IF(C34&lt;&gt;"",SUMIF(Resultados!$C$220:$C$243,'Temporada 2025'!C34,Resultados!$F$220:$F$243),"")</f>
        <v/>
      </c>
      <c r="Q34" s="21" t="str">
        <f>IF(C34&lt;&gt;"",SUMIF(Resultados!$C$248:$C$271,'Temporada 2025'!C34,Resultados!$F$248:$F$271),"")</f>
        <v/>
      </c>
      <c r="R34" s="21" t="str">
        <f>IF(C34&lt;&gt;"",SUMIF(Resultados!$C$276:$C$299,'Temporada 2025'!C34,Resultados!$F$276:$F$299),"")</f>
        <v/>
      </c>
      <c r="S34" s="21" t="str">
        <f>IF(C34&lt;&gt;"",SUMIF(Resultados!$C$304:$C$327,'Temporada 2025'!C34,Resultados!$F$304:$F$327),"")</f>
        <v/>
      </c>
      <c r="T34" s="21" t="str">
        <f>IF(C34&lt;&gt;"",SUMIF(Resultados!$C$332:$C$355,'Temporada 2025'!C34,Resultados!$F$332:$F$355),"")</f>
        <v/>
      </c>
      <c r="U34" s="21" t="str">
        <f>IF(C34&lt;&gt;"",SUMIF(Resultados!$C$360:$C$383,'Temporada 2025'!C34,Resultados!$F$360:$F$383),"")</f>
        <v/>
      </c>
      <c r="V34" s="21" t="str">
        <f>IF(C34&lt;&gt;"",SUMIF(Resultados!$C$412:$C$435,'Temporada 2025'!C34,Resultados!$F$412:$F$435),"")</f>
        <v/>
      </c>
      <c r="W34" s="21" t="str">
        <f>IF(C34&lt;&gt;"",SUMIF(Resultados!$C$440:$C$463,'Temporada 2025'!C34,Resultados!$F$440:$F$463),"")</f>
        <v/>
      </c>
      <c r="X34" s="21" t="str">
        <f>IF(C34&lt;&gt;"",SUMIF(Resultados!$C$468:$C$491,'Temporada 2025'!C34,Resultados!$F$468:$F$491),"")</f>
        <v/>
      </c>
      <c r="Y34" s="21" t="str">
        <f>IF(C34&lt;&gt;"",SUMIF(Resultados!$C$496:$C$519,'Temporada 2025'!C34,Resultados!$F$496:$F$519),"")</f>
        <v/>
      </c>
      <c r="Z34" s="21" t="str">
        <f>IF(C34&lt;&gt;"",SUMIF(Resultados!$C$524:$C$547,'Temporada 2025'!C34,Resultados!$F$524:$F$547),"")</f>
        <v/>
      </c>
      <c r="AA34" s="21" t="str">
        <f>IF(C34&lt;&gt;"",SUMIF(Resultados!#REF!,'Temporada 2025'!C34,Resultados!#REF!),"")</f>
        <v/>
      </c>
      <c r="AB34" s="21" t="str">
        <f>IF(C34&lt;&gt;"",SUMIF(Resultados!#REF!,'Temporada 2025'!C34,Resultados!#REF!),"")</f>
        <v/>
      </c>
      <c r="AC34" s="21" t="str">
        <f>IF(C34&lt;&gt;"",SUMIF(Resultados!#REF!,'Temporada 2025'!C34,Resultados!#REF!),"")</f>
        <v/>
      </c>
      <c r="AD34" s="21" t="str">
        <f>IF(C34&lt;&gt;"",SUMIF(Resultados!#REF!,'Temporada 2025'!D34,Resultados!#REF!),"")</f>
        <v/>
      </c>
    </row>
    <row r="35" spans="2:33" hidden="1" x14ac:dyDescent="0.2">
      <c r="B35" s="21" t="str">
        <f>IF('Equipes e Pilotos'!B30&lt;&gt;"",'Equipes e Pilotos'!B30,"")</f>
        <v/>
      </c>
      <c r="C35" s="18" t="str">
        <f>VLOOKUP(B35,'Dummy Table'!$A$3:$B$30,2,FALSE)</f>
        <v/>
      </c>
      <c r="D35" s="19" t="str">
        <f>VLOOKUP(B35,'Dummy Table'!$A$3:$C$30,3,FALSE)</f>
        <v/>
      </c>
      <c r="E35" s="19" t="str">
        <f>VLOOKUP(B35,'Dummy Table'!$A$3:$D$30,4,FALSE)</f>
        <v/>
      </c>
      <c r="F35" s="20" t="str">
        <f>IF(C35&lt;&gt;"",IF(G35+Resultados!$K$35&gt;$G$8,"J",""),"")</f>
        <v/>
      </c>
      <c r="G35" s="19" t="str">
        <f>VLOOKUP(B35,'Dummy Table'!$A$3:$E$30,5,FALSE)</f>
        <v/>
      </c>
      <c r="H35" s="19"/>
      <c r="I35" s="21" t="str">
        <f>IF(B35="","",COUNTIF(J35:AC35,25))</f>
        <v/>
      </c>
      <c r="J35" s="21" t="str">
        <f>IF(C35&lt;&gt;"",SUMIF(Resultados!$C$4:$C$27,'Temporada 2025'!C35,Resultados!$F$4:$F$27),"")</f>
        <v/>
      </c>
      <c r="K35" s="21" t="str">
        <f>IF(C35&lt;&gt;"",SUMIF(Resultados!$C$56:$C$65,'Temporada 2025'!C35,Resultados!$F$56:$F$65),"")</f>
        <v/>
      </c>
      <c r="L35" s="21" t="str">
        <f>IF(C35&lt;&gt;"",SUMIF(Resultados!$C$84:$C$107,'Temporada 2025'!C35,Resultados!$F$84:$F$107),"")</f>
        <v/>
      </c>
      <c r="M35" s="21" t="str">
        <f>IF(C35&lt;&gt;"",SUMIF(Resultados!$C$112:$C$135,'Temporada 2025'!C35,Resultados!$F$112:$F$135),"")</f>
        <v/>
      </c>
      <c r="N35" s="21" t="str">
        <f>IF(C35&lt;&gt;"",SUMIF(Resultados!$C$140:$C$163,'Temporada 2025'!C35,Resultados!$F$140:$F$163),"")</f>
        <v/>
      </c>
      <c r="O35" s="21" t="str">
        <f>IF(C35&lt;&gt;"",SUMIF(Resultados!$C$192:$C$215,'Temporada 2025'!C35,Resultados!$F$192:$F$215),"")</f>
        <v/>
      </c>
      <c r="P35" s="21" t="str">
        <f>IF(C35&lt;&gt;"",SUMIF(Resultados!$C$220:$C$243,'Temporada 2025'!C35,Resultados!$F$220:$F$243),"")</f>
        <v/>
      </c>
      <c r="Q35" s="21" t="str">
        <f>IF(C35&lt;&gt;"",SUMIF(Resultados!$C$248:$C$271,'Temporada 2025'!C35,Resultados!$F$248:$F$271),"")</f>
        <v/>
      </c>
      <c r="R35" s="21" t="str">
        <f>IF(C35&lt;&gt;"",SUMIF(Resultados!$C$276:$C$299,'Temporada 2025'!C35,Resultados!$F$276:$F$299),"")</f>
        <v/>
      </c>
      <c r="S35" s="21" t="str">
        <f>IF(C35&lt;&gt;"",SUMIF(Resultados!$C$304:$C$327,'Temporada 2025'!C35,Resultados!$F$304:$F$327),"")</f>
        <v/>
      </c>
      <c r="T35" s="21" t="str">
        <f>IF(C35&lt;&gt;"",SUMIF(Resultados!$C$332:$C$355,'Temporada 2025'!C35,Resultados!$F$332:$F$355),"")</f>
        <v/>
      </c>
      <c r="U35" s="21" t="str">
        <f>IF(C35&lt;&gt;"",SUMIF(Resultados!$C$360:$C$383,'Temporada 2025'!C35,Resultados!$F$360:$F$383),"")</f>
        <v/>
      </c>
      <c r="V35" s="21" t="str">
        <f>IF(C35&lt;&gt;"",SUMIF(Resultados!$C$412:$C$435,'Temporada 2025'!C35,Resultados!$F$412:$F$435),"")</f>
        <v/>
      </c>
      <c r="W35" s="21" t="str">
        <f>IF(C35&lt;&gt;"",SUMIF(Resultados!$C$440:$C$463,'Temporada 2025'!C35,Resultados!$F$440:$F$463),"")</f>
        <v/>
      </c>
      <c r="X35" s="21" t="str">
        <f>IF(C35&lt;&gt;"",SUMIF(Resultados!$C$468:$C$491,'Temporada 2025'!C35,Resultados!$F$468:$F$491),"")</f>
        <v/>
      </c>
      <c r="Y35" s="21" t="str">
        <f>IF(C35&lt;&gt;"",SUMIF(Resultados!$C$496:$C$519,'Temporada 2025'!C35,Resultados!$F$496:$F$519),"")</f>
        <v/>
      </c>
      <c r="Z35" s="21" t="str">
        <f>IF(C35&lt;&gt;"",SUMIF(Resultados!$C$524:$C$547,'Temporada 2025'!C35,Resultados!$F$524:$F$547),"")</f>
        <v/>
      </c>
      <c r="AA35" s="21" t="str">
        <f>IF(C35&lt;&gt;"",SUMIF(Resultados!#REF!,'Temporada 2025'!C35,Resultados!#REF!),"")</f>
        <v/>
      </c>
      <c r="AB35" s="21" t="str">
        <f>IF(C35&lt;&gt;"",SUMIF(Resultados!#REF!,'Temporada 2025'!C35,Resultados!#REF!),"")</f>
        <v/>
      </c>
      <c r="AC35" s="21" t="str">
        <f>IF(C35&lt;&gt;"",SUMIF(Resultados!#REF!,'Temporada 2025'!C35,Resultados!#REF!),"")</f>
        <v/>
      </c>
      <c r="AD35" s="21" t="str">
        <f>IF(C35&lt;&gt;"",SUMIF(Resultados!#REF!,'Temporada 2025'!D35,Resultados!#REF!),"")</f>
        <v/>
      </c>
    </row>
    <row r="36" spans="2:33" s="22" customFormat="1" ht="15" customHeight="1" x14ac:dyDescent="0.2">
      <c r="B36" s="132" t="s">
        <v>402</v>
      </c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2:33" x14ac:dyDescent="0.2">
      <c r="B37" s="145" t="s">
        <v>249</v>
      </c>
      <c r="C37" s="145" t="s">
        <v>237</v>
      </c>
      <c r="D37" s="145" t="s">
        <v>16</v>
      </c>
      <c r="E37" s="145" t="s">
        <v>240</v>
      </c>
      <c r="F37" s="145" t="s">
        <v>250</v>
      </c>
      <c r="G37" s="145" t="s">
        <v>251</v>
      </c>
      <c r="H37" s="140"/>
      <c r="I37" s="145" t="s">
        <v>258</v>
      </c>
      <c r="J37" s="146" t="s">
        <v>236</v>
      </c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</row>
    <row r="38" spans="2:33" x14ac:dyDescent="0.2">
      <c r="B38" s="145"/>
      <c r="C38" s="145"/>
      <c r="D38" s="145"/>
      <c r="E38" s="145"/>
      <c r="F38" s="145"/>
      <c r="G38" s="145"/>
      <c r="H38" s="140"/>
      <c r="I38" s="145"/>
      <c r="J38" s="27">
        <v>1</v>
      </c>
      <c r="K38" s="138">
        <v>2</v>
      </c>
      <c r="L38" s="27">
        <v>3</v>
      </c>
      <c r="M38" s="27">
        <v>4</v>
      </c>
      <c r="N38" s="27">
        <v>5</v>
      </c>
      <c r="O38" s="138">
        <v>6</v>
      </c>
      <c r="P38" s="27">
        <v>7</v>
      </c>
      <c r="Q38" s="27">
        <v>8</v>
      </c>
      <c r="R38" s="27">
        <v>9</v>
      </c>
      <c r="S38" s="27">
        <v>10</v>
      </c>
      <c r="T38" s="27">
        <v>11</v>
      </c>
      <c r="U38" s="27">
        <v>12</v>
      </c>
      <c r="V38" s="138">
        <v>13</v>
      </c>
      <c r="W38" s="27">
        <v>14</v>
      </c>
      <c r="X38" s="27">
        <v>15</v>
      </c>
      <c r="Y38" s="27">
        <v>16</v>
      </c>
      <c r="Z38" s="27">
        <v>17</v>
      </c>
      <c r="AA38" s="27">
        <v>18</v>
      </c>
      <c r="AB38" s="138">
        <v>19</v>
      </c>
      <c r="AC38" s="27">
        <v>20</v>
      </c>
      <c r="AD38" s="138">
        <v>21</v>
      </c>
      <c r="AE38" s="27">
        <v>22</v>
      </c>
      <c r="AF38" s="138">
        <v>23</v>
      </c>
      <c r="AG38" s="27">
        <v>24</v>
      </c>
    </row>
    <row r="39" spans="2:33" x14ac:dyDescent="0.2">
      <c r="B39" s="25">
        <f>IF('Equipes e Pilotos'!H3&lt;&gt;"",'Equipes e Pilotos'!H3,"")</f>
        <v>1</v>
      </c>
      <c r="C39" s="24" t="str">
        <f>VLOOKUP(B39,'Dummy Table'!$A$34:$B$47,2,FALSE)</f>
        <v>McLaren 🏆</v>
      </c>
      <c r="D39" s="28" t="str">
        <f>VLOOKUP(B39,'Dummy Table'!$A$34:$C$47,3,FALSE)</f>
        <v>Inglaterra</v>
      </c>
      <c r="E39" s="28" t="str">
        <f>VLOOKUP(B39,'Dummy Table'!$A$34:$D$47,4,FALSE)</f>
        <v>Mercedes</v>
      </c>
      <c r="F39" s="29" t="str">
        <f>IF(C39&lt;&gt;"",IF(G39+Resultados!$K$30&gt;$G$39,"J","L"),"")</f>
        <v>J</v>
      </c>
      <c r="G39" s="137">
        <f>VLOOKUP(B39,'Dummy Table'!$A$34:$E$47,5,FALSE)</f>
        <v>800</v>
      </c>
      <c r="H39" s="137"/>
      <c r="I39" s="30">
        <f>IF(B39="","",SUMIF(Resultados!$N$3:$N$30,C39,Resultados!$O$3:$O$30))</f>
        <v>14</v>
      </c>
      <c r="J39" s="23">
        <f>IF(C39&lt;&gt;"",SUMIF(Resultados!$E$4:$E$29,'Temporada 2025'!C39,Resultados!$F$4:$F$29),"")</f>
        <v>27</v>
      </c>
      <c r="K39" s="23">
        <f>IF(C39&lt;&gt;"",SUMIF(Resultados!$E$33:$E$81,'Temporada 2025'!C39,Resultados!$F$33:$F$81),"")</f>
        <v>51</v>
      </c>
      <c r="L39" s="23">
        <f>IF(C39&lt;&gt;"",SUMIF(Resultados!$E$84:$E$109,'Temporada 2025'!C39,Resultados!$F$84:$F$109),"")</f>
        <v>33</v>
      </c>
      <c r="M39" s="23">
        <f>IF(C39&lt;&gt;"",SUMIF(Resultados!$E$112:$E$137,'Temporada 2025'!C39,Resultados!$F$112:$F$137),"")</f>
        <v>40</v>
      </c>
      <c r="N39" s="23">
        <f>IF(C39&lt;&gt;"",SUMIF(Resultados!$E$140:$E$165,'Temporada 2025'!C39,Resultados!$F$140:$F$165),"")</f>
        <v>37</v>
      </c>
      <c r="O39" s="23">
        <f>IF(C39&lt;&gt;"",SUMIF(Resultados!$E$169:$E$217,'Temporada 2025'!C39,Resultados!$F$169:$F$217),"")</f>
        <v>58</v>
      </c>
      <c r="P39" s="23">
        <f>IF(C39&lt;&gt;"",SUMIF(Resultados!$E$220:$E$245,'Temporada 2025'!C39,Resultados!$F$220:$F$245),"")</f>
        <v>33</v>
      </c>
      <c r="Q39" s="23">
        <f>IF(C39&lt;&gt;"",SUMIF(Resultados!$E$248:$E$273,'Temporada 2025'!C39,Resultados!$F$248:$F$273),"")</f>
        <v>40</v>
      </c>
      <c r="R39" s="23">
        <f>IF(C39&lt;&gt;"",SUMIF(Resultados!$E$276:$E$301,'Temporada 2025'!C39,Resultados!$F$276:$F$301),"")</f>
        <v>43</v>
      </c>
      <c r="S39" s="23">
        <f>IF(C39&lt;&gt;"",SUMIF(Resultados!$E$304:$E$329,'Temporada 2025'!C39,Resultados!$F$304:$F$329),"")</f>
        <v>12</v>
      </c>
      <c r="T39" s="23">
        <f>IF(C39&lt;&gt;"",SUMIF(Resultados!$E$332:$E$357,'Temporada 2025'!C39,Resultados!$F$332:$F$357),"")</f>
        <v>43</v>
      </c>
      <c r="U39" s="23">
        <f>IF(C39&lt;&gt;"",SUMIF(Resultados!$E$360:$E$385,'Temporada 2025'!C39,Resultados!$F$360:$F$385),"")</f>
        <v>43</v>
      </c>
      <c r="V39" s="23">
        <f>IF(C39&lt;&gt;"",SUMIF(Resultados!$E$389:$E$437,'Temporada 2025'!C39,Resultados!$F$389:$F$437),"")</f>
        <v>56</v>
      </c>
      <c r="W39" s="23">
        <f>IF(C39&lt;&gt;"",SUMIF(Resultados!$E$440:$E$465,'Temporada 2025'!C39,Resultados!$F$440:$F$465),"")</f>
        <v>43</v>
      </c>
      <c r="X39" s="23">
        <f>IF(C39&lt;&gt;"",SUMIF(Resultados!$E$468:$E$493,'Temporada 2025'!C39,Resultados!$F$468:$F$493),"")</f>
        <v>25</v>
      </c>
      <c r="Y39" s="23">
        <f>IF(C39&lt;&gt;"",SUMIF(Resultados!$E$496:$E$521,'Temporada 2025'!C39,Resultados!$F$496:$F$521),"")</f>
        <v>33</v>
      </c>
      <c r="Z39" s="23">
        <f>IF(C39&lt;&gt;"",SUMIF(Resultados!$E$524:$E$549,'Temporada 2025'!C39,Resultados!$F$524:$F$549),"")</f>
        <v>6</v>
      </c>
      <c r="AA39" s="23">
        <f>IF(C39&lt;&gt;"",SUMIF(Resultados!$E$552:$E$577,'Temporada 2025'!C39,Resultados!$F$552:$F$577),"")</f>
        <v>27</v>
      </c>
      <c r="AB39" s="23">
        <f>IF(C39&lt;&gt;"",SUMIF(Resultados!$E$581:$E$629,'Temporada 2025'!C39,Resultados!$F$581:$F$629),"")</f>
        <v>28</v>
      </c>
      <c r="AC39" s="23">
        <f>IF(C39&lt;&gt;"",SUMIF(Resultados!$E$632:$E$657,'Temporada 2025'!C39,Resultados!$F$632:$F$657),"")</f>
        <v>35</v>
      </c>
      <c r="AD39" s="23">
        <f>IF(C39&lt;&gt;"",SUMIF(Resultados!$E$661:$E$709,'Temporada 2025'!C39,Resultados!$F$661:$F$709),"")</f>
        <v>43</v>
      </c>
      <c r="AE39" s="23">
        <f>IF(C39&lt;&gt;"",SUMIF(Resultados!$E$712:$E$737,'Temporada 2025'!C39,Resultados!$F$712:$F$737),"")</f>
        <v>0</v>
      </c>
      <c r="AF39" s="23">
        <f>IF(C39&lt;&gt;"",SUMIF(Resultados!$E$741:$E$789,'Temporada 2025'!C39,Resultados!$F$741:$F$789),"")</f>
        <v>44</v>
      </c>
      <c r="AG39" s="23">
        <f>IF(C39&lt;&gt;"",SUMIF(Resultados!$E$792:$E$817,'Temporada 2025'!C39,Resultados!$F$792:$F$817),"")</f>
        <v>0</v>
      </c>
    </row>
    <row r="40" spans="2:33" x14ac:dyDescent="0.2">
      <c r="B40" s="25">
        <f>IF('Equipes e Pilotos'!H4&lt;&gt;"",'Equipes e Pilotos'!H4,"")</f>
        <v>2</v>
      </c>
      <c r="C40" s="24" t="str">
        <f>VLOOKUP(B40,'Dummy Table'!$A$34:$B$47,2,FALSE)</f>
        <v>Mercedes</v>
      </c>
      <c r="D40" s="28" t="str">
        <f>VLOOKUP(B40,'Dummy Table'!$A$34:$C$47,3,FALSE)</f>
        <v>Alemanha</v>
      </c>
      <c r="E40" s="28" t="str">
        <f>VLOOKUP(B40,'Dummy Table'!$A$34:$D$47,4,FALSE)</f>
        <v>Mercedes</v>
      </c>
      <c r="F40" s="29" t="str">
        <f>IF(C40&lt;&gt;"",IF(G40+Resultados!$K$30&gt;$G$39,"J","L"),"")</f>
        <v>L</v>
      </c>
      <c r="G40" s="137">
        <f>VLOOKUP(B40,'Dummy Table'!$A$34:$E$47,5,FALSE)</f>
        <v>459</v>
      </c>
      <c r="H40" s="28">
        <f>IF(C40&lt;&gt;"",G40-G$39,"")</f>
        <v>-341</v>
      </c>
      <c r="I40" s="30">
        <f>IF(B40="","",SUMIF(Resultados!$N$3:$N$30,C40,Resultados!$O$3:$O$30))</f>
        <v>2</v>
      </c>
      <c r="J40" s="23">
        <f>IF(C40&lt;&gt;"",SUMIF(Resultados!$E$4:$E$29,'Temporada 2025'!C40,Resultados!$F$4:$F$29),"")</f>
        <v>27</v>
      </c>
      <c r="K40" s="23">
        <f>IF(C40&lt;&gt;"",SUMIF(Resultados!$E$33:$E$81,'Temporada 2025'!C40,Resultados!$F$33:$F$81),"")</f>
        <v>30</v>
      </c>
      <c r="L40" s="23">
        <f>IF(C40&lt;&gt;"",SUMIF(Resultados!$E$84:$E$109,'Temporada 2025'!C40,Resultados!$F$84:$F$109),"")</f>
        <v>18</v>
      </c>
      <c r="M40" s="23">
        <f>IF(C40&lt;&gt;"",SUMIF(Resultados!$E$112:$E$137,'Temporada 2025'!C40,Resultados!$F$112:$F$137),"")</f>
        <v>18</v>
      </c>
      <c r="N40" s="23">
        <f>IF(C40&lt;&gt;"",SUMIF(Resultados!$E$140:$E$165,'Temporada 2025'!C40,Resultados!$F$140:$F$165),"")</f>
        <v>18</v>
      </c>
      <c r="O40" s="23">
        <f>IF(C40&lt;&gt;"",SUMIF(Resultados!$E$169:$E$217,'Temporada 2025'!C40,Resultados!$F$169:$F$217),"")</f>
        <v>30</v>
      </c>
      <c r="P40" s="23">
        <f>IF(C40&lt;&gt;"",SUMIF(Resultados!$E$220:$E$245,'Temporada 2025'!C40,Resultados!$F$220:$F$245),"")</f>
        <v>6</v>
      </c>
      <c r="Q40" s="23">
        <f>IF(C40&lt;&gt;"",SUMIF(Resultados!$E$248:$E$273,'Temporada 2025'!C40,Resultados!$F$248:$F$273),"")</f>
        <v>0</v>
      </c>
      <c r="R40" s="23">
        <f>IF(C40&lt;&gt;"",SUMIF(Resultados!$E$276:$E$301,'Temporada 2025'!C40,Resultados!$F$276:$F$301),"")</f>
        <v>12</v>
      </c>
      <c r="S40" s="23">
        <f>IF(C40&lt;&gt;"",SUMIF(Resultados!$E$304:$E$329,'Temporada 2025'!C40,Resultados!$F$304:$F$329),"")</f>
        <v>40</v>
      </c>
      <c r="T40" s="23">
        <f>IF(C40&lt;&gt;"",SUMIF(Resultados!$E$332:$E$357,'Temporada 2025'!C40,Resultados!$F$332:$F$357),"")</f>
        <v>10</v>
      </c>
      <c r="U40" s="23">
        <f>IF(C40&lt;&gt;"",SUMIF(Resultados!$E$360:$E$385,'Temporada 2025'!C40,Resultados!$F$360:$F$385),"")</f>
        <v>1</v>
      </c>
      <c r="V40" s="23">
        <f>IF(C40&lt;&gt;"",SUMIF(Resultados!$E$389:$E$437,'Temporada 2025'!C40,Resultados!$F$389:$F$437),"")</f>
        <v>10</v>
      </c>
      <c r="W40" s="23">
        <f>IF(C40&lt;&gt;"",SUMIF(Resultados!$E$440:$E$465,'Temporada 2025'!C40,Resultados!$F$440:$F$465),"")</f>
        <v>16</v>
      </c>
      <c r="X40" s="23">
        <f>IF(C40&lt;&gt;"",SUMIF(Resultados!$E$468:$E$493,'Temporada 2025'!C40,Resultados!$F$468:$F$493),"")</f>
        <v>12</v>
      </c>
      <c r="Y40" s="23">
        <f>IF(C40&lt;&gt;"",SUMIF(Resultados!$E$496:$E$521,'Temporada 2025'!C40,Resultados!$F$496:$F$521),"")</f>
        <v>12</v>
      </c>
      <c r="Z40" s="23">
        <f>IF(C40&lt;&gt;"",SUMIF(Resultados!$E$524:$E$549,'Temporada 2025'!C40,Resultados!$F$524:$F$549),"")</f>
        <v>30</v>
      </c>
      <c r="AA40" s="23">
        <f>IF(C40&lt;&gt;"",SUMIF(Resultados!$E$552:$E$577,'Temporada 2025'!C40,Resultados!$F$552:$F$577),"")</f>
        <v>35</v>
      </c>
      <c r="AB40" s="23">
        <f>IF(C40&lt;&gt;"",SUMIF(Resultados!$E$581:$E$629,'Temporada 2025'!C40,Resultados!$F$581:$F$629),"")</f>
        <v>16</v>
      </c>
      <c r="AC40" s="23">
        <f>IF(C40&lt;&gt;"",SUMIF(Resultados!$E$632:$E$657,'Temporada 2025'!C40,Resultados!$F$632:$F$657),"")</f>
        <v>14</v>
      </c>
      <c r="AD40" s="23">
        <f>IF(C40&lt;&gt;"",SUMIF(Resultados!$E$661:$E$709,'Temporada 2025'!C40,Resultados!$F$661:$F$709),"")</f>
        <v>43</v>
      </c>
      <c r="AE40" s="23">
        <f>IF(C40&lt;&gt;"",SUMIF(Resultados!$E$712:$E$737,'Temporada 2025'!C40,Resultados!$F$712:$F$737),"")</f>
        <v>33</v>
      </c>
      <c r="AF40" s="23">
        <f>IF(C40&lt;&gt;"",SUMIF(Resultados!$E$741:$E$789,'Temporada 2025'!C40,Resultados!$F$741:$F$789),"")</f>
        <v>28</v>
      </c>
      <c r="AG40" s="23">
        <f>IF(C40&lt;&gt;"",SUMIF(Resultados!$E$792:$E$817,'Temporada 2025'!C40,Resultados!$F$792:$F$817),"")</f>
        <v>0</v>
      </c>
    </row>
    <row r="41" spans="2:33" x14ac:dyDescent="0.2">
      <c r="B41" s="25">
        <f>IF('Equipes e Pilotos'!H5&lt;&gt;"",'Equipes e Pilotos'!H5,"")</f>
        <v>3</v>
      </c>
      <c r="C41" s="24" t="str">
        <f>VLOOKUP(B41,'Dummy Table'!$A$34:$B$47,2,FALSE)</f>
        <v>Red Bull</v>
      </c>
      <c r="D41" s="28" t="str">
        <f>VLOOKUP(B41,'Dummy Table'!$A$34:$C$47,3,FALSE)</f>
        <v>Áustria</v>
      </c>
      <c r="E41" s="28" t="str">
        <f>VLOOKUP(B41,'Dummy Table'!$A$34:$D$47,4,FALSE)</f>
        <v>RBPT</v>
      </c>
      <c r="F41" s="29" t="str">
        <f>IF(C41&lt;&gt;"",IF(G41+Resultados!$K$30&gt;$G$39,"J","L"),"")</f>
        <v>L</v>
      </c>
      <c r="G41" s="137">
        <f>VLOOKUP(B41,'Dummy Table'!$A$34:$E$47,5,FALSE)</f>
        <v>426</v>
      </c>
      <c r="H41" s="28">
        <f t="shared" ref="H41:H51" si="1">IF(C41&lt;&gt;"",G41-G$39,"")</f>
        <v>-374</v>
      </c>
      <c r="I41" s="30">
        <f>IF(B41="","",SUMIF(Resultados!$N$3:$N$30,C41,Resultados!$O$3:$O$30))</f>
        <v>7</v>
      </c>
      <c r="J41" s="23">
        <f>IF(C41&lt;&gt;"",SUMIF(Resultados!$E$4:$E$29,'Temporada 2025'!C41,Resultados!$F$4:$F$29),"")</f>
        <v>18</v>
      </c>
      <c r="K41" s="23">
        <f>IF(C41&lt;&gt;"",SUMIF(Resultados!$E$33:$E$81,'Temporada 2025'!C41,Resultados!$F$33:$F$81),"")</f>
        <v>21</v>
      </c>
      <c r="L41" s="23">
        <f>IF(C41&lt;&gt;"",SUMIF(Resultados!$E$84:$E$109,'Temporada 2025'!C41,Resultados!$F$84:$F$109),"")</f>
        <v>25</v>
      </c>
      <c r="M41" s="23">
        <f>IF(C41&lt;&gt;"",SUMIF(Resultados!$E$112:$E$137,'Temporada 2025'!C41,Resultados!$F$112:$F$137),"")</f>
        <v>10</v>
      </c>
      <c r="N41" s="23">
        <f>IF(C41&lt;&gt;"",SUMIF(Resultados!$E$140:$E$165,'Temporada 2025'!C41,Resultados!$F$140:$F$165),"")</f>
        <v>18</v>
      </c>
      <c r="O41" s="23">
        <f>IF(C41&lt;&gt;"",SUMIF(Resultados!$E$169:$E$217,'Temporada 2025'!C41,Resultados!$F$169:$F$217),"")</f>
        <v>16</v>
      </c>
      <c r="P41" s="23">
        <f>IF(C41&lt;&gt;"",SUMIF(Resultados!$E$220:$E$245,'Temporada 2025'!C41,Resultados!$F$220:$F$245),"")</f>
        <v>26</v>
      </c>
      <c r="Q41" s="23">
        <f>IF(C41&lt;&gt;"",SUMIF(Resultados!$E$248:$E$273,'Temporada 2025'!C41,Resultados!$F$248:$F$273),"")</f>
        <v>12</v>
      </c>
      <c r="R41" s="23">
        <f>IF(C41&lt;&gt;"",SUMIF(Resultados!$E$276:$E$301,'Temporada 2025'!C41,Resultados!$F$276:$F$301),"")</f>
        <v>1</v>
      </c>
      <c r="S41" s="23">
        <f>IF(C41&lt;&gt;"",SUMIF(Resultados!$E$304:$E$329,'Temporada 2025'!C41,Resultados!$F$304:$F$329),"")</f>
        <v>18</v>
      </c>
      <c r="T41" s="23">
        <f>IF(C41&lt;&gt;"",SUMIF(Resultados!$E$332:$E$357,'Temporada 2025'!C41,Resultados!$F$332:$F$357),"")</f>
        <v>0</v>
      </c>
      <c r="U41" s="23">
        <f>IF(C41&lt;&gt;"",SUMIF(Resultados!$E$360:$E$385,'Temporada 2025'!C41,Resultados!$F$360:$F$385),"")</f>
        <v>10</v>
      </c>
      <c r="V41" s="23">
        <f>IF(C41&lt;&gt;"",SUMIF(Resultados!$E$389:$E$437,'Temporada 2025'!C41,Resultados!$F$389:$F$437),"")</f>
        <v>20</v>
      </c>
      <c r="W41" s="23">
        <f>IF(C41&lt;&gt;"",SUMIF(Resultados!$E$440:$E$465,'Temporada 2025'!C41,Resultados!$F$440:$F$465),"")</f>
        <v>2</v>
      </c>
      <c r="X41" s="23">
        <f>IF(C41&lt;&gt;"",SUMIF(Resultados!$E$468:$E$493,'Temporada 2025'!C41,Resultados!$F$468:$F$493),"")</f>
        <v>20</v>
      </c>
      <c r="Y41" s="23">
        <f>IF(C41&lt;&gt;"",SUMIF(Resultados!$E$496:$E$521,'Temporada 2025'!C41,Resultados!$F$496:$F$521),"")</f>
        <v>25</v>
      </c>
      <c r="Z41" s="23">
        <f>IF(C41&lt;&gt;"",SUMIF(Resultados!$E$524:$E$549,'Temporada 2025'!C41,Resultados!$F$524:$F$549),"")</f>
        <v>33</v>
      </c>
      <c r="AA41" s="23">
        <f>IF(C41&lt;&gt;"",SUMIF(Resultados!$E$552:$E$577,'Temporada 2025'!C41,Resultados!$F$552:$F$577),"")</f>
        <v>18</v>
      </c>
      <c r="AB41" s="23">
        <f>IF(C41&lt;&gt;"",SUMIF(Resultados!$E$581:$E$629,'Temporada 2025'!C41,Resultados!$F$581:$F$629),"")</f>
        <v>41</v>
      </c>
      <c r="AC41" s="23">
        <f>IF(C41&lt;&gt;"",SUMIF(Resultados!$E$632:$E$657,'Temporada 2025'!C41,Resultados!$F$632:$F$657),"")</f>
        <v>15</v>
      </c>
      <c r="AD41" s="23">
        <f>IF(C41&lt;&gt;"",SUMIF(Resultados!$E$661:$E$709,'Temporada 2025'!C41,Resultados!$F$661:$F$709),"")</f>
        <v>20</v>
      </c>
      <c r="AE41" s="23">
        <f>IF(C41&lt;&gt;"",SUMIF(Resultados!$E$712:$E$737,'Temporada 2025'!C41,Resultados!$F$712:$F$737),"")</f>
        <v>25</v>
      </c>
      <c r="AF41" s="23">
        <f>IF(C41&lt;&gt;"",SUMIF(Resultados!$E$741:$E$789,'Temporada 2025'!C41,Resultados!$F$741:$F$789),"")</f>
        <v>35</v>
      </c>
      <c r="AG41" s="23">
        <f>IF(C41&lt;&gt;"",SUMIF(Resultados!$E$792:$E$817,'Temporada 2025'!C41,Resultados!$F$792:$F$817),"")</f>
        <v>0</v>
      </c>
    </row>
    <row r="42" spans="2:33" x14ac:dyDescent="0.2">
      <c r="B42" s="25">
        <f>IF('Equipes e Pilotos'!H6&lt;&gt;"",'Equipes e Pilotos'!H6,"")</f>
        <v>4</v>
      </c>
      <c r="C42" s="24" t="str">
        <f>VLOOKUP(B42,'Dummy Table'!$A$34:$B$47,2,FALSE)</f>
        <v>Ferrari</v>
      </c>
      <c r="D42" s="28" t="str">
        <f>VLOOKUP(B42,'Dummy Table'!$A$34:$C$47,3,FALSE)</f>
        <v>Itália</v>
      </c>
      <c r="E42" s="28" t="str">
        <f>VLOOKUP(B42,'Dummy Table'!$A$34:$D$47,4,FALSE)</f>
        <v>Ferrari</v>
      </c>
      <c r="F42" s="29" t="str">
        <f>IF(C42&lt;&gt;"",IF(G42+Resultados!$K$30&gt;$G$39,"J","L"),"")</f>
        <v>L</v>
      </c>
      <c r="G42" s="137">
        <f>VLOOKUP(B42,'Dummy Table'!$A$34:$E$47,5,FALSE)</f>
        <v>382</v>
      </c>
      <c r="H42" s="28">
        <f t="shared" si="1"/>
        <v>-418</v>
      </c>
      <c r="I42" s="30">
        <f>IF(B42="","",SUMIF(Resultados!$N$3:$N$30,C42,Resultados!$O$3:$O$30))</f>
        <v>0</v>
      </c>
      <c r="J42" s="23">
        <f>IF(C42&lt;&gt;"",SUMIF(Resultados!$E$4:$E$29,'Temporada 2025'!C42,Resultados!$F$4:$F$29),"")</f>
        <v>5</v>
      </c>
      <c r="K42" s="23">
        <f>IF(C42&lt;&gt;"",SUMIF(Resultados!$E$33:$E$81,'Temporada 2025'!C42,Resultados!$F$33:$F$81),"")</f>
        <v>12</v>
      </c>
      <c r="L42" s="23">
        <f>IF(C42&lt;&gt;"",SUMIF(Resultados!$E$84:$E$109,'Temporada 2025'!C42,Resultados!$F$84:$F$109),"")</f>
        <v>18</v>
      </c>
      <c r="M42" s="23">
        <f>IF(C42&lt;&gt;"",SUMIF(Resultados!$E$112:$E$137,'Temporada 2025'!C42,Resultados!$F$112:$F$137),"")</f>
        <v>22</v>
      </c>
      <c r="N42" s="23">
        <f>IF(C42&lt;&gt;"",SUMIF(Resultados!$E$140:$E$165,'Temporada 2025'!C42,Resultados!$F$140:$F$165),"")</f>
        <v>21</v>
      </c>
      <c r="O42" s="23">
        <f>IF(C42&lt;&gt;"",SUMIF(Resultados!$E$169:$E$217,'Temporada 2025'!C42,Resultados!$F$169:$F$217),"")</f>
        <v>16</v>
      </c>
      <c r="P42" s="23">
        <f>IF(C42&lt;&gt;"",SUMIF(Resultados!$E$220:$E$245,'Temporada 2025'!C42,Resultados!$F$220:$F$245),"")</f>
        <v>20</v>
      </c>
      <c r="Q42" s="23">
        <f>IF(C42&lt;&gt;"",SUMIF(Resultados!$E$248:$E$273,'Temporada 2025'!C42,Resultados!$F$248:$F$273),"")</f>
        <v>28</v>
      </c>
      <c r="R42" s="23">
        <f>IF(C42&lt;&gt;"",SUMIF(Resultados!$E$276:$E$301,'Temporada 2025'!C42,Resultados!$F$276:$F$301),"")</f>
        <v>23</v>
      </c>
      <c r="S42" s="23">
        <f>IF(C42&lt;&gt;"",SUMIF(Resultados!$E$304:$E$329,'Temporada 2025'!C42,Resultados!$F$304:$F$329),"")</f>
        <v>18</v>
      </c>
      <c r="T42" s="23">
        <f>IF(C42&lt;&gt;"",SUMIF(Resultados!$E$332:$E$357,'Temporada 2025'!C42,Resultados!$F$332:$F$357),"")</f>
        <v>27</v>
      </c>
      <c r="U42" s="23">
        <f>IF(C42&lt;&gt;"",SUMIF(Resultados!$E$360:$E$385,'Temporada 2025'!C42,Resultados!$F$360:$F$385),"")</f>
        <v>12</v>
      </c>
      <c r="V42" s="23">
        <f>IF(C42&lt;&gt;"",SUMIF(Resultados!$E$389:$E$437,'Temporada 2025'!C42,Resultados!$F$389:$F$437),"")</f>
        <v>26</v>
      </c>
      <c r="W42" s="23">
        <f>IF(C42&lt;&gt;"",SUMIF(Resultados!$E$440:$E$465,'Temporada 2025'!C42,Resultados!$F$440:$F$465),"")</f>
        <v>12</v>
      </c>
      <c r="X42" s="23">
        <f>IF(C42&lt;&gt;"",SUMIF(Resultados!$E$468:$E$493,'Temporada 2025'!C42,Resultados!$F$468:$F$493),"")</f>
        <v>0</v>
      </c>
      <c r="Y42" s="23">
        <f>IF(C42&lt;&gt;"",SUMIF(Resultados!$E$496:$E$521,'Temporada 2025'!C42,Resultados!$F$496:$F$521),"")</f>
        <v>20</v>
      </c>
      <c r="Z42" s="23">
        <f>IF(C42&lt;&gt;"",SUMIF(Resultados!$E$524:$E$549,'Temporada 2025'!C42,Resultados!$F$524:$F$549),"")</f>
        <v>6</v>
      </c>
      <c r="AA42" s="23">
        <f>IF(C42&lt;&gt;"",SUMIF(Resultados!$E$552:$E$577,'Temporada 2025'!C42,Resultados!$F$552:$F$577),"")</f>
        <v>12</v>
      </c>
      <c r="AB42" s="23">
        <f>IF(C42&lt;&gt;"",SUMIF(Resultados!$E$581:$E$629,'Temporada 2025'!C42,Resultados!$F$581:$F$629),"")</f>
        <v>36</v>
      </c>
      <c r="AC42" s="23">
        <f>IF(C42&lt;&gt;"",SUMIF(Resultados!$E$632:$E$657,'Temporada 2025'!C42,Resultados!$F$632:$F$657),"")</f>
        <v>22</v>
      </c>
      <c r="AD42" s="23">
        <f>IF(C42&lt;&gt;"",SUMIF(Resultados!$E$661:$E$709,'Temporada 2025'!C42,Resultados!$F$661:$F$709),"")</f>
        <v>6</v>
      </c>
      <c r="AE42" s="23">
        <f>IF(C42&lt;&gt;"",SUMIF(Resultados!$E$712:$E$737,'Temporada 2025'!C42,Resultados!$F$712:$F$737),"")</f>
        <v>16</v>
      </c>
      <c r="AF42" s="23">
        <f>IF(C42&lt;&gt;"",SUMIF(Resultados!$E$741:$E$789,'Temporada 2025'!C42,Resultados!$F$741:$F$789),"")</f>
        <v>4</v>
      </c>
      <c r="AG42" s="23">
        <f>IF(C42&lt;&gt;"",SUMIF(Resultados!$E$792:$E$817,'Temporada 2025'!C42,Resultados!$F$792:$F$817),"")</f>
        <v>0</v>
      </c>
    </row>
    <row r="43" spans="2:33" x14ac:dyDescent="0.2">
      <c r="B43" s="25">
        <f>IF('Equipes e Pilotos'!H7&lt;&gt;"",'Equipes e Pilotos'!H7,"")</f>
        <v>5</v>
      </c>
      <c r="C43" s="24" t="str">
        <f>VLOOKUP(B43,'Dummy Table'!$A$34:$B$47,2,FALSE)</f>
        <v>Williams</v>
      </c>
      <c r="D43" s="28" t="str">
        <f>VLOOKUP(B43,'Dummy Table'!$A$34:$C$47,3,FALSE)</f>
        <v>Inglaterra</v>
      </c>
      <c r="E43" s="28" t="str">
        <f>VLOOKUP(B43,'Dummy Table'!$A$34:$D$47,4,FALSE)</f>
        <v>Mercedes</v>
      </c>
      <c r="F43" s="29" t="str">
        <f>IF(C43&lt;&gt;"",IF(G43+Resultados!$K$30&gt;$G$39,"J","L"),"")</f>
        <v>L</v>
      </c>
      <c r="G43" s="137">
        <f>VLOOKUP(B43,'Dummy Table'!$A$34:$E$47,5,FALSE)</f>
        <v>137</v>
      </c>
      <c r="H43" s="28">
        <f t="shared" si="1"/>
        <v>-663</v>
      </c>
      <c r="I43" s="30">
        <f>IF(B43="","",SUMIF(Resultados!$N$3:$N$30,C43,Resultados!$O$3:$O$30))</f>
        <v>0</v>
      </c>
      <c r="J43" s="23">
        <f>IF(C43&lt;&gt;"",SUMIF(Resultados!$E$4:$E$29,'Temporada 2025'!C43,Resultados!$F$4:$F$29),"")</f>
        <v>10</v>
      </c>
      <c r="K43" s="23">
        <f>IF(C43&lt;&gt;"",SUMIF(Resultados!$E$33:$E$81,'Temporada 2025'!C43,Resultados!$F$33:$F$81),"")</f>
        <v>7</v>
      </c>
      <c r="L43" s="23">
        <f>IF(C43&lt;&gt;"",SUMIF(Resultados!$E$84:$E$109,'Temporada 2025'!C43,Resultados!$F$84:$F$109),"")</f>
        <v>2</v>
      </c>
      <c r="M43" s="23">
        <f>IF(C43&lt;&gt;"",SUMIF(Resultados!$E$112:$E$137,'Temporada 2025'!C43,Resultados!$F$112:$F$137),"")</f>
        <v>0</v>
      </c>
      <c r="N43" s="23">
        <f>IF(C43&lt;&gt;"",SUMIF(Resultados!$E$140:$E$165,'Temporada 2025'!C43,Resultados!$F$140:$F$165),"")</f>
        <v>6</v>
      </c>
      <c r="O43" s="23">
        <f>IF(C43&lt;&gt;"",SUMIF(Resultados!$E$169:$E$217,'Temporada 2025'!C43,Resultados!$F$169:$F$217),"")</f>
        <v>12</v>
      </c>
      <c r="P43" s="23">
        <f>IF(C43&lt;&gt;"",SUMIF(Resultados!$E$220:$E$245,'Temporada 2025'!C43,Resultados!$F$220:$F$245),"")</f>
        <v>14</v>
      </c>
      <c r="Q43" s="23">
        <f>IF(C43&lt;&gt;"",SUMIF(Resultados!$E$248:$E$273,'Temporada 2025'!C43,Resultados!$F$248:$F$273),"")</f>
        <v>3</v>
      </c>
      <c r="R43" s="23">
        <f>IF(C43&lt;&gt;"",SUMIF(Resultados!$E$276:$E$301,'Temporada 2025'!C43,Resultados!$F$276:$F$301),"")</f>
        <v>0</v>
      </c>
      <c r="S43" s="23">
        <f>IF(C43&lt;&gt;"",SUMIF(Resultados!$E$304:$E$329,'Temporada 2025'!C43,Resultados!$F$304:$F$329),"")</f>
        <v>1</v>
      </c>
      <c r="T43" s="23">
        <f>IF(C43&lt;&gt;"",SUMIF(Resultados!$E$332:$E$357,'Temporada 2025'!C43,Resultados!$F$332:$F$357),"")</f>
        <v>0</v>
      </c>
      <c r="U43" s="23">
        <f>IF(C43&lt;&gt;"",SUMIF(Resultados!$E$360:$E$385,'Temporada 2025'!C43,Resultados!$F$360:$F$385),"")</f>
        <v>4</v>
      </c>
      <c r="V43" s="23">
        <f>IF(C43&lt;&gt;"",SUMIF(Resultados!$E$389:$E$437,'Temporada 2025'!C43,Resultados!$F$389:$F$437),"")</f>
        <v>11</v>
      </c>
      <c r="W43" s="23">
        <f>IF(C43&lt;&gt;"",SUMIF(Resultados!$E$440:$E$465,'Temporada 2025'!C43,Resultados!$F$440:$F$465),"")</f>
        <v>0</v>
      </c>
      <c r="X43" s="23">
        <f>IF(C43&lt;&gt;"",SUMIF(Resultados!$E$468:$E$493,'Temporada 2025'!C43,Resultados!$F$468:$F$493),"")</f>
        <v>10</v>
      </c>
      <c r="Y43" s="23">
        <f>IF(C43&lt;&gt;"",SUMIF(Resultados!$E$496:$E$521,'Temporada 2025'!C43,Resultados!$F$496:$F$521),"")</f>
        <v>6</v>
      </c>
      <c r="Z43" s="23">
        <f>IF(C43&lt;&gt;"",SUMIF(Resultados!$E$524:$E$549,'Temporada 2025'!C43,Resultados!$F$524:$F$549),"")</f>
        <v>15</v>
      </c>
      <c r="AA43" s="23">
        <f>IF(C43&lt;&gt;"",SUMIF(Resultados!$E$552:$E$577,'Temporada 2025'!C43,Resultados!$F$552:$F$577),"")</f>
        <v>1</v>
      </c>
      <c r="AB43" s="23">
        <f>IF(C43&lt;&gt;"",SUMIF(Resultados!$E$581:$E$629,'Temporada 2025'!C43,Resultados!$F$581:$F$629),"")</f>
        <v>9</v>
      </c>
      <c r="AC43" s="23">
        <f>IF(C43&lt;&gt;"",SUMIF(Resultados!$E$632:$E$657,'Temporada 2025'!C43,Resultados!$F$632:$F$657),"")</f>
        <v>0</v>
      </c>
      <c r="AD43" s="23">
        <f>IF(C43&lt;&gt;"",SUMIF(Resultados!$E$661:$E$709,'Temporada 2025'!C43,Resultados!$F$661:$F$709),"")</f>
        <v>0</v>
      </c>
      <c r="AE43" s="23">
        <f>IF(C43&lt;&gt;"",SUMIF(Resultados!$E$712:$E$737,'Temporada 2025'!C43,Resultados!$F$712:$F$737),"")</f>
        <v>10</v>
      </c>
      <c r="AF43" s="23">
        <f>IF(C43&lt;&gt;"",SUMIF(Resultados!$E$741:$E$789,'Temporada 2025'!C43,Resultados!$F$741:$F$789),"")</f>
        <v>16</v>
      </c>
      <c r="AG43" s="23">
        <f>IF(C43&lt;&gt;"",SUMIF(Resultados!$E$792:$E$817,'Temporada 2025'!C43,Resultados!$F$792:$F$817),"")</f>
        <v>0</v>
      </c>
    </row>
    <row r="44" spans="2:33" x14ac:dyDescent="0.2">
      <c r="B44" s="25">
        <f>IF('Equipes e Pilotos'!H8&lt;&gt;"",'Equipes e Pilotos'!H8,"")</f>
        <v>6</v>
      </c>
      <c r="C44" s="24" t="str">
        <f>VLOOKUP(B44,'Dummy Table'!$A$34:$B$47,2,FALSE)</f>
        <v>Racing Bulls</v>
      </c>
      <c r="D44" s="28" t="str">
        <f>VLOOKUP(B44,'Dummy Table'!$A$34:$C$47,3,FALSE)</f>
        <v>Itália</v>
      </c>
      <c r="E44" s="28" t="str">
        <f>VLOOKUP(B44,'Dummy Table'!$A$34:$D$47,4,FALSE)</f>
        <v>RBPT</v>
      </c>
      <c r="F44" s="29" t="str">
        <f>IF(C44&lt;&gt;"",IF(G44+Resultados!$K$30&gt;$G$39,"J","L"),"")</f>
        <v>L</v>
      </c>
      <c r="G44" s="137">
        <f>VLOOKUP(B44,'Dummy Table'!$A$34:$E$47,5,FALSE)</f>
        <v>92</v>
      </c>
      <c r="H44" s="28">
        <f t="shared" si="1"/>
        <v>-708</v>
      </c>
      <c r="I44" s="30">
        <f>IF(B44="","",SUMIF(Resultados!$N$3:$N$30,C44,Resultados!$O$3:$O$30))</f>
        <v>0</v>
      </c>
      <c r="J44" s="23">
        <f>IF(C44&lt;&gt;"",SUMIF(Resultados!$E$4:$E$29,'Temporada 2025'!C44,Resultados!$F$4:$F$29),"")</f>
        <v>0</v>
      </c>
      <c r="K44" s="23">
        <f>IF(C44&lt;&gt;"",SUMIF(Resultados!$E$33:$E$81,'Temporada 2025'!C44,Resultados!$F$33:$F$81),"")</f>
        <v>0</v>
      </c>
      <c r="L44" s="23">
        <f>IF(C44&lt;&gt;"",SUMIF(Resultados!$E$84:$E$109,'Temporada 2025'!C44,Resultados!$F$84:$F$109),"")</f>
        <v>4</v>
      </c>
      <c r="M44" s="23">
        <f>IF(C44&lt;&gt;"",SUMIF(Resultados!$E$112:$E$137,'Temporada 2025'!C44,Resultados!$F$112:$F$137),"")</f>
        <v>0</v>
      </c>
      <c r="N44" s="23">
        <f>IF(C44&lt;&gt;"",SUMIF(Resultados!$E$140:$E$165,'Temporada 2025'!C44,Resultados!$F$140:$F$165),"")</f>
        <v>1</v>
      </c>
      <c r="O44" s="23">
        <f>IF(C44&lt;&gt;"",SUMIF(Resultados!$E$169:$E$217,'Temporada 2025'!C44,Resultados!$F$169:$F$217),"")</f>
        <v>0</v>
      </c>
      <c r="P44" s="23">
        <f>IF(C44&lt;&gt;"",SUMIF(Resultados!$E$220:$E$245,'Temporada 2025'!C44,Resultados!$F$220:$F$245),"")</f>
        <v>2</v>
      </c>
      <c r="Q44" s="23">
        <f>IF(C44&lt;&gt;"",SUMIF(Resultados!$E$248:$E$273,'Temporada 2025'!C44,Resultados!$F$248:$F$273),"")</f>
        <v>12</v>
      </c>
      <c r="R44" s="23">
        <f>IF(C44&lt;&gt;"",SUMIF(Resultados!$E$276:$E$301,'Temporada 2025'!C44,Resultados!$F$276:$F$301),"")</f>
        <v>6</v>
      </c>
      <c r="S44" s="23">
        <f>IF(C44&lt;&gt;"",SUMIF(Resultados!$E$304:$E$329,'Temporada 2025'!C44,Resultados!$F$304:$F$329),"")</f>
        <v>0</v>
      </c>
      <c r="T44" s="23">
        <f>IF(C44&lt;&gt;"",SUMIF(Resultados!$E$332:$E$357,'Temporada 2025'!C44,Resultados!$F$332:$F$357),"")</f>
        <v>8</v>
      </c>
      <c r="U44" s="23">
        <f>IF(C44&lt;&gt;"",SUMIF(Resultados!$E$360:$E$385,'Temporada 2025'!C44,Resultados!$F$360:$F$385),"")</f>
        <v>0</v>
      </c>
      <c r="V44" s="23">
        <f>IF(C44&lt;&gt;"",SUMIF(Resultados!$E$389:$E$437,'Temporada 2025'!C44,Resultados!$F$389:$F$437),"")</f>
        <v>5</v>
      </c>
      <c r="W44" s="23">
        <f>IF(C44&lt;&gt;"",SUMIF(Resultados!$E$440:$E$465,'Temporada 2025'!C44,Resultados!$F$440:$F$465),"")</f>
        <v>4</v>
      </c>
      <c r="X44" s="23">
        <f>IF(C44&lt;&gt;"",SUMIF(Resultados!$E$468:$E$493,'Temporada 2025'!C44,Resultados!$F$468:$F$493),"")</f>
        <v>15</v>
      </c>
      <c r="Y44" s="23">
        <f>IF(C44&lt;&gt;"",SUMIF(Resultados!$E$496:$E$521,'Temporada 2025'!C44,Resultados!$F$496:$F$521),"")</f>
        <v>1</v>
      </c>
      <c r="Z44" s="23">
        <f>IF(C44&lt;&gt;"",SUMIF(Resultados!$E$524:$E$549,'Temporada 2025'!C44,Resultados!$F$524:$F$549),"")</f>
        <v>11</v>
      </c>
      <c r="AA44" s="23">
        <f>IF(C44&lt;&gt;"",SUMIF(Resultados!$E$552:$E$577,'Temporada 2025'!C44,Resultados!$F$552:$F$577),"")</f>
        <v>0</v>
      </c>
      <c r="AB44" s="23">
        <f>IF(C44&lt;&gt;"",SUMIF(Resultados!$E$581:$E$629,'Temporada 2025'!C44,Resultados!$F$581:$F$629),"")</f>
        <v>0</v>
      </c>
      <c r="AC44" s="23">
        <f>IF(C44&lt;&gt;"",SUMIF(Resultados!$E$632:$E$657,'Temporada 2025'!C44,Resultados!$F$632:$F$657),"")</f>
        <v>0</v>
      </c>
      <c r="AD44" s="23">
        <f>IF(C44&lt;&gt;"",SUMIF(Resultados!$E$661:$E$709,'Temporada 2025'!C44,Resultados!$F$661:$F$709),"")</f>
        <v>10</v>
      </c>
      <c r="AE44" s="23">
        <f>IF(C44&lt;&gt;"",SUMIF(Resultados!$E$712:$E$737,'Temporada 2025'!C44,Resultados!$F$712:$F$737),"")</f>
        <v>8</v>
      </c>
      <c r="AF44" s="23">
        <f>IF(C44&lt;&gt;"",SUMIF(Resultados!$E$741:$E$789,'Temporada 2025'!C44,Resultados!$F$741:$F$789),"")</f>
        <v>2</v>
      </c>
      <c r="AG44" s="23">
        <f>IF(C44&lt;&gt;"",SUMIF(Resultados!$E$792:$E$817,'Temporada 2025'!C44,Resultados!$F$792:$F$817),"")</f>
        <v>0</v>
      </c>
    </row>
    <row r="45" spans="2:33" x14ac:dyDescent="0.2">
      <c r="B45" s="25">
        <f>IF('Equipes e Pilotos'!H9&lt;&gt;"",'Equipes e Pilotos'!H9,"")</f>
        <v>7</v>
      </c>
      <c r="C45" s="24" t="str">
        <f>VLOOKUP(B45,'Dummy Table'!$A$34:$B$47,2,FALSE)</f>
        <v>Aston Martin</v>
      </c>
      <c r="D45" s="28" t="str">
        <f>VLOOKUP(B45,'Dummy Table'!$A$34:$C$47,3,FALSE)</f>
        <v>Inglaterra</v>
      </c>
      <c r="E45" s="28" t="str">
        <f>VLOOKUP(B45,'Dummy Table'!$A$34:$D$47,4,FALSE)</f>
        <v>Mercedes</v>
      </c>
      <c r="F45" s="29" t="str">
        <f>IF(C45&lt;&gt;"",IF(G45+Resultados!$K$30&gt;$G$39,"J","L"),"")</f>
        <v>L</v>
      </c>
      <c r="G45" s="137">
        <f>VLOOKUP(B45,'Dummy Table'!$A$34:$E$47,5,FALSE)</f>
        <v>80</v>
      </c>
      <c r="H45" s="28">
        <f t="shared" si="1"/>
        <v>-720</v>
      </c>
      <c r="I45" s="30">
        <f>IF(B45="","",SUMIF(Resultados!$N$3:$N$30,C45,Resultados!$O$3:$O$30))</f>
        <v>0</v>
      </c>
      <c r="J45" s="23">
        <f>IF(C45&lt;&gt;"",SUMIF(Resultados!$E$4:$E$29,'Temporada 2025'!C45,Resultados!$F$4:$F$29),"")</f>
        <v>8</v>
      </c>
      <c r="K45" s="23">
        <f>IF(C45&lt;&gt;"",SUMIF(Resultados!$E$33:$E$81,'Temporada 2025'!C45,Resultados!$F$33:$F$81),"")</f>
        <v>2</v>
      </c>
      <c r="L45" s="23">
        <f>IF(C45&lt;&gt;"",SUMIF(Resultados!$E$84:$E$109,'Temporada 2025'!C45,Resultados!$F$84:$F$109),"")</f>
        <v>0</v>
      </c>
      <c r="M45" s="23">
        <f>IF(C45&lt;&gt;"",SUMIF(Resultados!$E$112:$E$137,'Temporada 2025'!C45,Resultados!$F$112:$F$137),"")</f>
        <v>0</v>
      </c>
      <c r="N45" s="23">
        <f>IF(C45&lt;&gt;"",SUMIF(Resultados!$E$140:$E$165,'Temporada 2025'!C45,Resultados!$F$140:$F$165),"")</f>
        <v>0</v>
      </c>
      <c r="O45" s="23">
        <f>IF(C45&lt;&gt;"",SUMIF(Resultados!$E$169:$E$217,'Temporada 2025'!C45,Resultados!$F$169:$F$217),"")</f>
        <v>4</v>
      </c>
      <c r="P45" s="23">
        <f>IF(C45&lt;&gt;"",SUMIF(Resultados!$E$220:$E$245,'Temporada 2025'!C45,Resultados!$F$220:$F$245),"")</f>
        <v>0</v>
      </c>
      <c r="Q45" s="23">
        <f>IF(C45&lt;&gt;"",SUMIF(Resultados!$E$248:$E$273,'Temporada 2025'!C45,Resultados!$F$248:$F$273),"")</f>
        <v>0</v>
      </c>
      <c r="R45" s="23">
        <f>IF(C45&lt;&gt;"",SUMIF(Resultados!$E$276:$E$301,'Temporada 2025'!C45,Resultados!$F$276:$F$301),"")</f>
        <v>2</v>
      </c>
      <c r="S45" s="23">
        <f>IF(C45&lt;&gt;"",SUMIF(Resultados!$E$304:$E$329,'Temporada 2025'!C45,Resultados!$F$304:$F$329),"")</f>
        <v>6</v>
      </c>
      <c r="T45" s="23">
        <f>IF(C45&lt;&gt;"",SUMIF(Resultados!$E$332:$E$357,'Temporada 2025'!C45,Resultados!$F$332:$F$357),"")</f>
        <v>6</v>
      </c>
      <c r="U45" s="23">
        <f>IF(C45&lt;&gt;"",SUMIF(Resultados!$E$360:$E$385,'Temporada 2025'!C45,Resultados!$F$360:$F$385),"")</f>
        <v>8</v>
      </c>
      <c r="V45" s="23">
        <f>IF(C45&lt;&gt;"",SUMIF(Resultados!$E$389:$E$437,'Temporada 2025'!C45,Resultados!$F$389:$F$437),"")</f>
        <v>0</v>
      </c>
      <c r="W45" s="23">
        <f>IF(C45&lt;&gt;"",SUMIF(Resultados!$E$440:$E$465,'Temporada 2025'!C45,Resultados!$F$440:$F$465),"")</f>
        <v>16</v>
      </c>
      <c r="X45" s="23">
        <f>IF(C45&lt;&gt;"",SUMIF(Resultados!$E$468:$E$493,'Temporada 2025'!C45,Resultados!$F$468:$F$493),"")</f>
        <v>10</v>
      </c>
      <c r="Y45" s="23">
        <f>IF(C45&lt;&gt;"",SUMIF(Resultados!$E$496:$E$521,'Temporada 2025'!C45,Resultados!$F$496:$F$521),"")</f>
        <v>0</v>
      </c>
      <c r="Z45" s="23">
        <f>IF(C45&lt;&gt;"",SUMIF(Resultados!$E$524:$E$549,'Temporada 2025'!C45,Resultados!$F$524:$F$549),"")</f>
        <v>0</v>
      </c>
      <c r="AA45" s="23">
        <f>IF(C45&lt;&gt;"",SUMIF(Resultados!$E$552:$E$577,'Temporada 2025'!C45,Resultados!$F$552:$F$577),"")</f>
        <v>6</v>
      </c>
      <c r="AB45" s="23">
        <f>IF(C45&lt;&gt;"",SUMIF(Resultados!$E$581:$E$629,'Temporada 2025'!C45,Resultados!$F$581:$F$629),"")</f>
        <v>1</v>
      </c>
      <c r="AC45" s="23">
        <f>IF(C45&lt;&gt;"",SUMIF(Resultados!$E$632:$E$657,'Temporada 2025'!C45,Resultados!$F$632:$F$657),"")</f>
        <v>0</v>
      </c>
      <c r="AD45" s="23">
        <f>IF(C45&lt;&gt;"",SUMIF(Resultados!$E$661:$E$709,'Temporada 2025'!C45,Resultados!$F$661:$F$709),"")</f>
        <v>3</v>
      </c>
      <c r="AE45" s="23">
        <f>IF(C45&lt;&gt;"",SUMIF(Resultados!$E$712:$E$737,'Temporada 2025'!C45,Resultados!$F$712:$F$737),"")</f>
        <v>0</v>
      </c>
      <c r="AF45" s="23">
        <f>IF(C45&lt;&gt;"",SUMIF(Resultados!$E$741:$E$789,'Temporada 2025'!C45,Resultados!$F$741:$F$789),"")</f>
        <v>8</v>
      </c>
      <c r="AG45" s="23">
        <f>IF(C45&lt;&gt;"",SUMIF(Resultados!$E$792:$E$817,'Temporada 2025'!C45,Resultados!$F$792:$F$817),"")</f>
        <v>0</v>
      </c>
    </row>
    <row r="46" spans="2:33" x14ac:dyDescent="0.2">
      <c r="B46" s="25">
        <f>IF('Equipes e Pilotos'!H10&lt;&gt;"",'Equipes e Pilotos'!H10,"")</f>
        <v>8</v>
      </c>
      <c r="C46" s="24" t="str">
        <f>VLOOKUP(B46,'Dummy Table'!$A$34:$B$47,2,FALSE)</f>
        <v>Haas</v>
      </c>
      <c r="D46" s="28" t="str">
        <f>VLOOKUP(B46,'Dummy Table'!$A$34:$C$47,3,FALSE)</f>
        <v>USA</v>
      </c>
      <c r="E46" s="28" t="str">
        <f>VLOOKUP(B46,'Dummy Table'!$A$34:$D$47,4,FALSE)</f>
        <v>Ferrari</v>
      </c>
      <c r="F46" s="29" t="str">
        <f>IF(C46&lt;&gt;"",IF(G46+Resultados!$K$30&gt;$G$39,"J","L"),"")</f>
        <v>L</v>
      </c>
      <c r="G46" s="137">
        <f>VLOOKUP(B46,'Dummy Table'!$A$34:$E$47,5,FALSE)</f>
        <v>73</v>
      </c>
      <c r="H46" s="28">
        <f t="shared" si="1"/>
        <v>-727</v>
      </c>
      <c r="I46" s="30">
        <f>IF(B46="","",SUMIF(Resultados!$N$3:$N$30,C46,Resultados!$O$3:$O$30))</f>
        <v>0</v>
      </c>
      <c r="J46" s="23">
        <f>IF(C46&lt;&gt;"",SUMIF(Resultados!$E$4:$E$29,'Temporada 2025'!C46,Resultados!$F$4:$F$29),"")</f>
        <v>0</v>
      </c>
      <c r="K46" s="23">
        <f>IF(C46&lt;&gt;"",SUMIF(Resultados!$E$33:$E$81,'Temporada 2025'!C46,Resultados!$F$33:$F$81),"")</f>
        <v>14</v>
      </c>
      <c r="L46" s="23">
        <f>IF(C46&lt;&gt;"",SUMIF(Resultados!$E$84:$E$109,'Temporada 2025'!C46,Resultados!$F$84:$F$109),"")</f>
        <v>1</v>
      </c>
      <c r="M46" s="23">
        <f>IF(C46&lt;&gt;"",SUMIF(Resultados!$E$112:$E$137,'Temporada 2025'!C46,Resultados!$F$112:$F$137),"")</f>
        <v>5</v>
      </c>
      <c r="N46" s="23">
        <f>IF(C46&lt;&gt;"",SUMIF(Resultados!$E$140:$E$165,'Temporada 2025'!C46,Resultados!$F$140:$F$165),"")</f>
        <v>0</v>
      </c>
      <c r="O46" s="23">
        <f>IF(C46&lt;&gt;"",SUMIF(Resultados!$E$169:$E$217,'Temporada 2025'!C46,Resultados!$F$169:$F$217),"")</f>
        <v>0</v>
      </c>
      <c r="P46" s="23">
        <f>IF(C46&lt;&gt;"",SUMIF(Resultados!$E$220:$E$245,'Temporada 2025'!C46,Resultados!$F$220:$F$245),"")</f>
        <v>0</v>
      </c>
      <c r="Q46" s="23">
        <f>IF(C46&lt;&gt;"",SUMIF(Resultados!$E$248:$E$273,'Temporada 2025'!C46,Resultados!$F$248:$F$273),"")</f>
        <v>6</v>
      </c>
      <c r="R46" s="23">
        <f>IF(C46&lt;&gt;"",SUMIF(Resultados!$E$276:$E$301,'Temporada 2025'!C46,Resultados!$F$276:$F$301),"")</f>
        <v>0</v>
      </c>
      <c r="S46" s="23">
        <f>IF(C46&lt;&gt;"",SUMIF(Resultados!$E$304:$E$329,'Temporada 2025'!C46,Resultados!$F$304:$F$329),"")</f>
        <v>2</v>
      </c>
      <c r="T46" s="23">
        <f>IF(C46&lt;&gt;"",SUMIF(Resultados!$E$332:$E$357,'Temporada 2025'!C46,Resultados!$F$332:$F$357),"")</f>
        <v>1</v>
      </c>
      <c r="U46" s="23">
        <f>IF(C46&lt;&gt;"",SUMIF(Resultados!$E$360:$E$385,'Temporada 2025'!C46,Resultados!$F$360:$F$385),"")</f>
        <v>0</v>
      </c>
      <c r="V46" s="23">
        <f>IF(C46&lt;&gt;"",SUMIF(Resultados!$E$389:$E$437,'Temporada 2025'!C46,Resultados!$F$389:$F$437),"")</f>
        <v>6</v>
      </c>
      <c r="W46" s="23">
        <f>IF(C46&lt;&gt;"",SUMIF(Resultados!$E$440:$E$465,'Temporada 2025'!C46,Resultados!$F$440:$F$465),"")</f>
        <v>0</v>
      </c>
      <c r="X46" s="23">
        <f>IF(C46&lt;&gt;"",SUMIF(Resultados!$E$468:$E$493,'Temporada 2025'!C46,Resultados!$F$468:$F$493),"")</f>
        <v>9</v>
      </c>
      <c r="Y46" s="23">
        <f>IF(C46&lt;&gt;"",SUMIF(Resultados!$E$496:$E$521,'Temporada 2025'!C46,Resultados!$F$496:$F$521),"")</f>
        <v>0</v>
      </c>
      <c r="Z46" s="23">
        <f>IF(C46&lt;&gt;"",SUMIF(Resultados!$E$524:$E$549,'Temporada 2025'!C46,Resultados!$F$524:$F$549),"")</f>
        <v>0</v>
      </c>
      <c r="AA46" s="23">
        <f>IF(C46&lt;&gt;"",SUMIF(Resultados!$E$552:$E$577,'Temporada 2025'!C46,Resultados!$F$552:$F$577),"")</f>
        <v>2</v>
      </c>
      <c r="AB46" s="23">
        <f>IF(C46&lt;&gt;"",SUMIF(Resultados!$E$581:$E$629,'Temporada 2025'!C46,Resultados!$F$581:$F$629),"")</f>
        <v>2</v>
      </c>
      <c r="AC46" s="23">
        <f>IF(C46&lt;&gt;"",SUMIF(Resultados!$E$632:$E$657,'Temporada 2025'!C46,Resultados!$F$632:$F$657),"")</f>
        <v>14</v>
      </c>
      <c r="AD46" s="23">
        <f>IF(C46&lt;&gt;"",SUMIF(Resultados!$E$661:$E$709,'Temporada 2025'!C46,Resultados!$F$661:$F$709),"")</f>
        <v>8</v>
      </c>
      <c r="AE46" s="23">
        <f>IF(C46&lt;&gt;"",SUMIF(Resultados!$E$712:$E$737,'Temporada 2025'!C46,Resultados!$F$712:$F$737),"")</f>
        <v>3</v>
      </c>
      <c r="AF46" s="23">
        <f>IF(C46&lt;&gt;"",SUMIF(Resultados!$E$741:$E$789,'Temporada 2025'!C46,Resultados!$F$741:$F$789),"")</f>
        <v>0</v>
      </c>
      <c r="AG46" s="23">
        <f>IF(C46&lt;&gt;"",SUMIF(Resultados!$E$792:$E$817,'Temporada 2025'!C46,Resultados!$F$792:$F$817),"")</f>
        <v>0</v>
      </c>
    </row>
    <row r="47" spans="2:33" x14ac:dyDescent="0.2">
      <c r="B47" s="25">
        <f>IF('Equipes e Pilotos'!H11&lt;&gt;"",'Equipes e Pilotos'!H11,"")</f>
        <v>9</v>
      </c>
      <c r="C47" s="24" t="str">
        <f>VLOOKUP(B47,'Dummy Table'!$A$34:$B$47,2,FALSE)</f>
        <v>Kick Sauber</v>
      </c>
      <c r="D47" s="28" t="str">
        <f>VLOOKUP(B47,'Dummy Table'!$A$34:$C$47,3,FALSE)</f>
        <v>Suíça</v>
      </c>
      <c r="E47" s="28" t="str">
        <f>VLOOKUP(B47,'Dummy Table'!$A$34:$D$47,4,FALSE)</f>
        <v>Ferrari</v>
      </c>
      <c r="F47" s="29" t="str">
        <f>IF(C47&lt;&gt;"",IF(G47+Resultados!$K$30&gt;$G$39,"J","L"),"")</f>
        <v>L</v>
      </c>
      <c r="G47" s="137">
        <f>VLOOKUP(B47,'Dummy Table'!$A$34:$E$47,5,FALSE)</f>
        <v>68</v>
      </c>
      <c r="H47" s="28">
        <f t="shared" si="1"/>
        <v>-732</v>
      </c>
      <c r="I47" s="30">
        <f>IF(B47="","",SUMIF(Resultados!$N$3:$N$30,C47,Resultados!$O$3:$O$30))</f>
        <v>0</v>
      </c>
      <c r="J47" s="23">
        <f>IF(C47&lt;&gt;"",SUMIF(Resultados!$E$4:$E$29,'Temporada 2025'!C47,Resultados!$F$4:$F$29),"")</f>
        <v>6</v>
      </c>
      <c r="K47" s="23">
        <f>IF(C47&lt;&gt;"",SUMIF(Resultados!$E$33:$E$81,'Temporada 2025'!C47,Resultados!$F$33:$F$81),"")</f>
        <v>0</v>
      </c>
      <c r="L47" s="23">
        <f>IF(C47&lt;&gt;"",SUMIF(Resultados!$E$84:$E$109,'Temporada 2025'!C47,Resultados!$F$84:$F$109),"")</f>
        <v>0</v>
      </c>
      <c r="M47" s="23">
        <f>IF(C47&lt;&gt;"",SUMIF(Resultados!$E$112:$E$137,'Temporada 2025'!C47,Resultados!$F$112:$F$137),"")</f>
        <v>0</v>
      </c>
      <c r="N47" s="23">
        <f>IF(C47&lt;&gt;"",SUMIF(Resultados!$E$140:$E$165,'Temporada 2025'!C47,Resultados!$F$140:$F$165),"")</f>
        <v>0</v>
      </c>
      <c r="O47" s="23">
        <f>IF(C47&lt;&gt;"",SUMIF(Resultados!$E$169:$E$217,'Temporada 2025'!C47,Resultados!$F$169:$F$217),"")</f>
        <v>0</v>
      </c>
      <c r="P47" s="23">
        <f>IF(C47&lt;&gt;"",SUMIF(Resultados!$E$220:$E$245,'Temporada 2025'!C47,Resultados!$F$220:$F$245),"")</f>
        <v>0</v>
      </c>
      <c r="Q47" s="23">
        <f>IF(C47&lt;&gt;"",SUMIF(Resultados!$E$248:$E$273,'Temporada 2025'!C47,Resultados!$F$248:$F$273),"")</f>
        <v>0</v>
      </c>
      <c r="R47" s="23">
        <f>IF(C47&lt;&gt;"",SUMIF(Resultados!$E$276:$E$301,'Temporada 2025'!C47,Resultados!$F$276:$F$301),"")</f>
        <v>10</v>
      </c>
      <c r="S47" s="23">
        <f>IF(C47&lt;&gt;"",SUMIF(Resultados!$E$304:$E$329,'Temporada 2025'!C47,Resultados!$F$304:$F$329),"")</f>
        <v>4</v>
      </c>
      <c r="T47" s="23">
        <f>IF(C47&lt;&gt;"",SUMIF(Resultados!$E$332:$E$357,'Temporada 2025'!C47,Resultados!$F$332:$F$357),"")</f>
        <v>6</v>
      </c>
      <c r="U47" s="23">
        <f>IF(C47&lt;&gt;"",SUMIF(Resultados!$E$360:$E$385,'Temporada 2025'!C47,Resultados!$F$360:$F$385),"")</f>
        <v>15</v>
      </c>
      <c r="V47" s="23">
        <f>IF(C47&lt;&gt;"",SUMIF(Resultados!$E$389:$E$437,'Temporada 2025'!C47,Resultados!$F$389:$F$437),"")</f>
        <v>2</v>
      </c>
      <c r="W47" s="23">
        <f>IF(C47&lt;&gt;"",SUMIF(Resultados!$E$440:$E$465,'Temporada 2025'!C47,Resultados!$F$440:$F$465),"")</f>
        <v>8</v>
      </c>
      <c r="X47" s="23">
        <f>IF(C47&lt;&gt;"",SUMIF(Resultados!$E$468:$E$493,'Temporada 2025'!C47,Resultados!$F$468:$F$493),"")</f>
        <v>0</v>
      </c>
      <c r="Y47" s="23">
        <f>IF(C47&lt;&gt;"",SUMIF(Resultados!$E$496:$E$521,'Temporada 2025'!C47,Resultados!$F$496:$F$521),"")</f>
        <v>4</v>
      </c>
      <c r="Z47" s="23">
        <f>IF(C47&lt;&gt;"",SUMIF(Resultados!$E$524:$E$549,'Temporada 2025'!C47,Resultados!$F$524:$F$549),"")</f>
        <v>0</v>
      </c>
      <c r="AA47" s="23">
        <f>IF(C47&lt;&gt;"",SUMIF(Resultados!$E$552:$E$577,'Temporada 2025'!C47,Resultados!$F$552:$F$577),"")</f>
        <v>0</v>
      </c>
      <c r="AB47" s="23">
        <f>IF(C47&lt;&gt;"",SUMIF(Resultados!$E$581:$E$629,'Temporada 2025'!C47,Resultados!$F$581:$F$629),"")</f>
        <v>4</v>
      </c>
      <c r="AC47" s="23">
        <f>IF(C47&lt;&gt;"",SUMIF(Resultados!$E$632:$E$657,'Temporada 2025'!C47,Resultados!$F$632:$F$657),"")</f>
        <v>1</v>
      </c>
      <c r="AD47" s="23">
        <f>IF(C47&lt;&gt;"",SUMIF(Resultados!$E$661:$E$709,'Temporada 2025'!C47,Resultados!$F$661:$F$709),"")</f>
        <v>2</v>
      </c>
      <c r="AE47" s="23">
        <f>IF(C47&lt;&gt;"",SUMIF(Resultados!$E$712:$E$737,'Temporada 2025'!C47,Resultados!$F$712:$F$737),"")</f>
        <v>6</v>
      </c>
      <c r="AF47" s="23">
        <f>IF(C47&lt;&gt;"",SUMIF(Resultados!$E$741:$E$789,'Temporada 2025'!C47,Resultados!$F$741:$F$789),"")</f>
        <v>0</v>
      </c>
      <c r="AG47" s="23">
        <f>IF(C47&lt;&gt;"",SUMIF(Resultados!$E$792:$E$817,'Temporada 2025'!C47,Resultados!$F$792:$F$817),"")</f>
        <v>0</v>
      </c>
    </row>
    <row r="48" spans="2:33" x14ac:dyDescent="0.2">
      <c r="B48" s="25">
        <f>IF('Equipes e Pilotos'!H12&lt;&gt;"",'Equipes e Pilotos'!H12,"")</f>
        <v>10</v>
      </c>
      <c r="C48" s="24" t="str">
        <f>VLOOKUP(B48,'Dummy Table'!$A$34:$B$47,2,FALSE)</f>
        <v>Alpine</v>
      </c>
      <c r="D48" s="28" t="str">
        <f>VLOOKUP(B48,'Dummy Table'!$A$34:$C$47,3,FALSE)</f>
        <v>França</v>
      </c>
      <c r="E48" s="28" t="str">
        <f>VLOOKUP(B48,'Dummy Table'!$A$34:$D$47,4,FALSE)</f>
        <v>Renault</v>
      </c>
      <c r="F48" s="29" t="str">
        <f>IF(C48&lt;&gt;"",IF(G48+Resultados!$K$30&gt;$G$39,"J","L"),"")</f>
        <v>L</v>
      </c>
      <c r="G48" s="137">
        <f>VLOOKUP(B48,'Dummy Table'!$A$34:$E$47,5,FALSE)</f>
        <v>22</v>
      </c>
      <c r="H48" s="28">
        <f t="shared" si="1"/>
        <v>-778</v>
      </c>
      <c r="I48" s="30">
        <f>IF(B48="","",SUMIF(Resultados!$N$3:$N$30,C48,Resultados!$O$3:$O$30))</f>
        <v>0</v>
      </c>
      <c r="J48" s="23">
        <f>IF(C48&lt;&gt;"",SUMIF(Resultados!$E$4:$E$29,'Temporada 2025'!C48,Resultados!$F$4:$F$29),"")</f>
        <v>0</v>
      </c>
      <c r="K48" s="23">
        <f>IF(C48&lt;&gt;"",SUMIF(Resultados!$E$33:$E$81,'Temporada 2025'!C48,Resultados!$F$33:$F$81),"")</f>
        <v>0</v>
      </c>
      <c r="L48" s="23">
        <f>IF(C48&lt;&gt;"",SUMIF(Resultados!$E$84:$E$109,'Temporada 2025'!C48,Resultados!$F$84:$F$109),"")</f>
        <v>0</v>
      </c>
      <c r="M48" s="23">
        <f>IF(C48&lt;&gt;"",SUMIF(Resultados!$E$112:$E$137,'Temporada 2025'!C48,Resultados!$F$112:$F$137),"")</f>
        <v>6</v>
      </c>
      <c r="N48" s="23">
        <f>IF(C48&lt;&gt;"",SUMIF(Resultados!$E$140:$E$165,'Temporada 2025'!C48,Resultados!$F$140:$F$165),"")</f>
        <v>0</v>
      </c>
      <c r="O48" s="23">
        <f>IF(C48&lt;&gt;"",SUMIF(Resultados!$E$169:$E$217,'Temporada 2025'!C48,Resultados!$F$169:$F$217),"")</f>
        <v>1</v>
      </c>
      <c r="P48" s="23">
        <f>IF(C48&lt;&gt;"",SUMIF(Resultados!$E$220:$E$245,'Temporada 2025'!C48,Resultados!$F$220:$F$245),"")</f>
        <v>0</v>
      </c>
      <c r="Q48" s="23">
        <f>IF(C48&lt;&gt;"",SUMIF(Resultados!$E$248:$E$273,'Temporada 2025'!C48,Resultados!$F$248:$F$273),"")</f>
        <v>0</v>
      </c>
      <c r="R48" s="23">
        <f>IF(C48&lt;&gt;"",SUMIF(Resultados!$E$276:$E$301,'Temporada 2025'!C48,Resultados!$F$276:$F$301),"")</f>
        <v>4</v>
      </c>
      <c r="S48" s="23">
        <f>IF(C48&lt;&gt;"",SUMIF(Resultados!$E$304:$E$329,'Temporada 2025'!C48,Resultados!$F$304:$F$329),"")</f>
        <v>0</v>
      </c>
      <c r="T48" s="23">
        <f>IF(C48&lt;&gt;"",SUMIF(Resultados!$E$332:$E$357,'Temporada 2025'!C48,Resultados!$F$332:$F$357),"")</f>
        <v>0</v>
      </c>
      <c r="U48" s="23">
        <f>IF(C48&lt;&gt;"",SUMIF(Resultados!$E$360:$E$385,'Temporada 2025'!C48,Resultados!$F$360:$F$385),"")</f>
        <v>8</v>
      </c>
      <c r="V48" s="23">
        <f>IF(C48&lt;&gt;"",SUMIF(Resultados!$E$389:$E$437,'Temporada 2025'!C48,Resultados!$F$389:$F$437),"")</f>
        <v>1</v>
      </c>
      <c r="W48" s="23">
        <f>IF(C48&lt;&gt;"",SUMIF(Resultados!$E$440:$E$465,'Temporada 2025'!C48,Resultados!$F$440:$F$465),"")</f>
        <v>0</v>
      </c>
      <c r="X48" s="23">
        <f>IF(C48&lt;&gt;"",SUMIF(Resultados!$E$468:$E$493,'Temporada 2025'!C48,Resultados!$F$468:$F$493),"")</f>
        <v>0</v>
      </c>
      <c r="Y48" s="23">
        <f>IF(C48&lt;&gt;"",SUMIF(Resultados!$E$496:$E$521,'Temporada 2025'!C48,Resultados!$F$496:$F$521),"")</f>
        <v>0</v>
      </c>
      <c r="Z48" s="23">
        <f>IF(C48&lt;&gt;"",SUMIF(Resultados!$E$524:$E$549,'Temporada 2025'!C48,Resultados!$F$524:$F$549),"")</f>
        <v>0</v>
      </c>
      <c r="AA48" s="23">
        <f>IF(C48&lt;&gt;"",SUMIF(Resultados!$E$552:$E$577,'Temporada 2025'!C48,Resultados!$F$552:$F$577),"")</f>
        <v>0</v>
      </c>
      <c r="AB48" s="23">
        <f>IF(C48&lt;&gt;"",SUMIF(Resultados!$E$581:$E$629,'Temporada 2025'!C48,Resultados!$F$581:$F$629),"")</f>
        <v>0</v>
      </c>
      <c r="AC48" s="23">
        <f>IF(C48&lt;&gt;"",SUMIF(Resultados!$E$632:$E$657,'Temporada 2025'!C48,Resultados!$F$632:$F$657),"")</f>
        <v>0</v>
      </c>
      <c r="AD48" s="23">
        <f>IF(C48&lt;&gt;"",SUMIF(Resultados!$E$661:$E$709,'Temporada 2025'!C48,Resultados!$F$661:$F$709),"")</f>
        <v>2</v>
      </c>
      <c r="AE48" s="23">
        <f>IF(C48&lt;&gt;"",SUMIF(Resultados!$E$712:$E$737,'Temporada 2025'!C48,Resultados!$F$712:$F$737),"")</f>
        <v>0</v>
      </c>
      <c r="AF48" s="23">
        <f>IF(C48&lt;&gt;"",SUMIF(Resultados!$E$741:$E$789,'Temporada 2025'!C48,Resultados!$F$741:$F$789),"")</f>
        <v>0</v>
      </c>
      <c r="AG48" s="23">
        <f>IF(C48&lt;&gt;"",SUMIF(Resultados!$E$792:$E$817,'Temporada 2025'!C48,Resultados!$F$792:$F$817),"")</f>
        <v>0</v>
      </c>
    </row>
    <row r="49" spans="2:33" x14ac:dyDescent="0.2">
      <c r="B49" s="25" t="str">
        <f>IF('Equipes e Pilotos'!H13&lt;&gt;"",'Equipes e Pilotos'!H13,"")</f>
        <v/>
      </c>
      <c r="C49" s="24" t="str">
        <f>VLOOKUP(B49,'Dummy Table'!$A$34:$B$47,2,FALSE)</f>
        <v/>
      </c>
      <c r="D49" s="28" t="str">
        <f>VLOOKUP(B49,'Dummy Table'!$A$34:$C$47,3,FALSE)</f>
        <v/>
      </c>
      <c r="E49" s="28" t="str">
        <f>VLOOKUP(B49,'Dummy Table'!$A$34:$D$47,4,FALSE)</f>
        <v/>
      </c>
      <c r="F49" s="29" t="str">
        <f>IF(C49&lt;&gt;"",IF(G49+Resultados!$K$30&gt;$G$39,"J","L"),"")</f>
        <v/>
      </c>
      <c r="G49" s="28" t="str">
        <f>VLOOKUP(B49,'Dummy Table'!$A$34:$E$47,5,FALSE)</f>
        <v/>
      </c>
      <c r="H49" s="28" t="str">
        <f t="shared" si="1"/>
        <v/>
      </c>
      <c r="I49" s="30" t="str">
        <f>IF(B49="","",SUMIF(Resultados!$N$3:$N$30,C49,Resultados!$O$3:$O$30))</f>
        <v/>
      </c>
      <c r="J49" s="23" t="str">
        <f>IF(C49&lt;&gt;"",SUMIF(Resultados!$E$4:$E$29,'Temporada 2025'!C49,Resultados!$F$4:$F$29),"")</f>
        <v/>
      </c>
      <c r="K49" s="23" t="str">
        <f>IF(C49&lt;&gt;"",SUMIF(Resultados!$E$33:$E$81,'Temporada 2025'!C49,Resultados!$F$33:$F$81),"")</f>
        <v/>
      </c>
      <c r="L49" s="23" t="str">
        <f>IF(C49&lt;&gt;"",SUMIF(Resultados!$E$84:$E$109,'Temporada 2025'!C49,Resultados!$F$84:$F$109),"")</f>
        <v/>
      </c>
      <c r="M49" s="23" t="str">
        <f>IF(C49&lt;&gt;"",SUMIF(Resultados!$E$112:$E$137,'Temporada 2025'!C49,Resultados!$F$112:$F$137),"")</f>
        <v/>
      </c>
      <c r="N49" s="23" t="str">
        <f>IF(C49&lt;&gt;"",SUMIF(Resultados!$E$140:$E$165,'Temporada 2025'!C49,Resultados!$F$140:$F$165),"")</f>
        <v/>
      </c>
      <c r="O49" s="23" t="str">
        <f>IF(C49&lt;&gt;"",SUMIF(Resultados!$E$169:$E$217,'Temporada 2025'!C49,Resultados!$F$169:$F$217),"")</f>
        <v/>
      </c>
      <c r="P49" s="23" t="str">
        <f>IF(C49&lt;&gt;"",SUMIF(Resultados!$E$220:$E$245,'Temporada 2025'!C49,Resultados!$F$220:$F$245),"")</f>
        <v/>
      </c>
      <c r="Q49" s="23" t="str">
        <f>IF(C49&lt;&gt;"",SUMIF(Resultados!$E$248:$E$273,'Temporada 2025'!C49,Resultados!$F$248:$F$273),"")</f>
        <v/>
      </c>
      <c r="R49" s="23" t="str">
        <f>IF(C49&lt;&gt;"",SUMIF(Resultados!$E$276:$E$301,'Temporada 2025'!C49,Resultados!$F$276:$F$301),"")</f>
        <v/>
      </c>
      <c r="S49" s="23" t="str">
        <f>IF(C49&lt;&gt;"",SUMIF(Resultados!$E$304:$E$329,'Temporada 2025'!C49,Resultados!$F$304:$F$329),"")</f>
        <v/>
      </c>
      <c r="T49" s="23" t="str">
        <f>IF(C49&lt;&gt;"",SUMIF(Resultados!$E$332:$E$357,'Temporada 2025'!C49,Resultados!$F$332:$F$357),"")</f>
        <v/>
      </c>
      <c r="U49" s="23" t="str">
        <f>IF(C49&lt;&gt;"",SUMIF(Resultados!$E$360:$E$385,'Temporada 2025'!C49,Resultados!$F$360:$F$385),"")</f>
        <v/>
      </c>
      <c r="V49" s="23" t="str">
        <f>IF(C49&lt;&gt;"",SUMIF(Resultados!$E$389:$E$437,'Temporada 2025'!C49,Resultados!$F$389:$F$437),"")</f>
        <v/>
      </c>
      <c r="W49" s="23" t="str">
        <f>IF(C49&lt;&gt;"",SUMIF(Resultados!$E$440:$E$465,'Temporada 2025'!C49,Resultados!$F$440:$F$465),"")</f>
        <v/>
      </c>
      <c r="X49" s="23" t="str">
        <f>IF(C49&lt;&gt;"",SUMIF(Resultados!$E$468:$E$493,'Temporada 2025'!C49,Resultados!$F$468:$F$493),"")</f>
        <v/>
      </c>
      <c r="Y49" s="23" t="str">
        <f>IF(C49&lt;&gt;"",SUMIF(Resultados!$E$496:$E$521,'Temporada 2025'!C49,Resultados!$F$496:$F$521),"")</f>
        <v/>
      </c>
      <c r="Z49" s="23" t="str">
        <f>IF(C49&lt;&gt;"",SUMIF(Resultados!$E$524:$E$549,'Temporada 2025'!C49,Resultados!$F$524:$F$549),"")</f>
        <v/>
      </c>
      <c r="AA49" s="23" t="str">
        <f>IF(C49&lt;&gt;"",SUMIF(Resultados!$E$552:$E$577,'Temporada 2025'!C49,Resultados!$F$552:$F$577),"")</f>
        <v/>
      </c>
      <c r="AB49" s="23" t="str">
        <f>IF(C49&lt;&gt;"",SUMIF(Resultados!$E$581:$E$629,'Temporada 2025'!C49,Resultados!$F$581:$F$629),"")</f>
        <v/>
      </c>
      <c r="AC49" s="23" t="str">
        <f>IF(C49&lt;&gt;"",SUMIF(Resultados!$E$632:$E$657,'Temporada 2025'!C49,Resultados!$F$632:$F$657),"")</f>
        <v/>
      </c>
      <c r="AD49" s="23" t="str">
        <f>IF(C49&lt;&gt;"",SUMIF(Resultados!$E$661:$E$709,'Temporada 2025'!C49,Resultados!$F$661:$F$709),"")</f>
        <v/>
      </c>
      <c r="AE49" s="23" t="str">
        <f>IF(C49&lt;&gt;"",SUMIF(Resultados!$E$712:$E$737,'Temporada 2025'!C49,Resultados!$F$712:$F$737),"")</f>
        <v/>
      </c>
      <c r="AF49" s="23" t="str">
        <f>IF(C49&lt;&gt;"",SUMIF(Resultados!$E$741:$E$789,'Temporada 2025'!C49,Resultados!$F$741:$F$789),"")</f>
        <v/>
      </c>
      <c r="AG49" s="23" t="str">
        <f>IF(C49&lt;&gt;"",SUMIF(Resultados!$E$792:$E$817,'Temporada 2025'!C49,Resultados!$F$792:$F$817),"")</f>
        <v/>
      </c>
    </row>
    <row r="50" spans="2:33" x14ac:dyDescent="0.2">
      <c r="B50" s="25" t="str">
        <f>IF('Equipes e Pilotos'!H14&lt;&gt;"",'Equipes e Pilotos'!H14,"")</f>
        <v/>
      </c>
      <c r="C50" s="24" t="str">
        <f>VLOOKUP(B50,'Dummy Table'!$A$34:$B$47,2,FALSE)</f>
        <v/>
      </c>
      <c r="D50" s="28" t="str">
        <f>VLOOKUP(B50,'Dummy Table'!$A$34:$C$47,3,FALSE)</f>
        <v/>
      </c>
      <c r="E50" s="28" t="str">
        <f>VLOOKUP(B50,'Dummy Table'!$A$34:$D$47,4,FALSE)</f>
        <v/>
      </c>
      <c r="F50" s="29" t="str">
        <f>IF(C50&lt;&gt;"",IF(G50+Resultados!$K$30&gt;$G$39,"J","L"),"")</f>
        <v/>
      </c>
      <c r="G50" s="28" t="str">
        <f>VLOOKUP(B50,'Dummy Table'!$A$34:$E$47,5,FALSE)</f>
        <v/>
      </c>
      <c r="H50" s="28" t="str">
        <f t="shared" si="1"/>
        <v/>
      </c>
      <c r="I50" s="30" t="str">
        <f>IF(B50="","",SUMIF(Resultados!$N$3:$N$30,C50,Resultados!$O$3:$O$30))</f>
        <v/>
      </c>
      <c r="J50" s="23" t="str">
        <f>IF(C50&lt;&gt;"",SUMIF(Resultados!$E$4:$E$29,'Temporada 2025'!C50,Resultados!$F$4:$F$29),"")</f>
        <v/>
      </c>
      <c r="K50" s="23" t="str">
        <f>IF(C50&lt;&gt;"",SUMIF(Resultados!$E$33:$E$81,'Temporada 2025'!C50,Resultados!$F$33:$F$81),"")</f>
        <v/>
      </c>
      <c r="L50" s="23" t="str">
        <f>IF(C50&lt;&gt;"",SUMIF(Resultados!$E$84:$E$109,'Temporada 2025'!C50,Resultados!$F$84:$F$109),"")</f>
        <v/>
      </c>
      <c r="M50" s="23" t="str">
        <f>IF(C50&lt;&gt;"",SUMIF(Resultados!$E$112:$E$137,'Temporada 2025'!C50,Resultados!$F$112:$F$137),"")</f>
        <v/>
      </c>
      <c r="N50" s="23" t="str">
        <f>IF(C50&lt;&gt;"",SUMIF(Resultados!$E$140:$E$165,'Temporada 2025'!C50,Resultados!$F$140:$F$165),"")</f>
        <v/>
      </c>
      <c r="O50" s="23" t="str">
        <f>IF(C50&lt;&gt;"",SUMIF(Resultados!$E$169:$E$217,'Temporada 2025'!C50,Resultados!$F$169:$F$217),"")</f>
        <v/>
      </c>
      <c r="P50" s="23" t="str">
        <f>IF(C50&lt;&gt;"",SUMIF(Resultados!$E$220:$E$245,'Temporada 2025'!C50,Resultados!$F$220:$F$245),"")</f>
        <v/>
      </c>
      <c r="Q50" s="23" t="str">
        <f>IF(C50&lt;&gt;"",SUMIF(Resultados!$E$248:$E$273,'Temporada 2025'!C50,Resultados!$F$248:$F$273),"")</f>
        <v/>
      </c>
      <c r="R50" s="23" t="str">
        <f>IF(C50&lt;&gt;"",SUMIF(Resultados!$E$276:$E$301,'Temporada 2025'!C50,Resultados!$F$276:$F$301),"")</f>
        <v/>
      </c>
      <c r="S50" s="23" t="str">
        <f>IF(C50&lt;&gt;"",SUMIF(Resultados!$E$304:$E$329,'Temporada 2025'!C50,Resultados!$F$304:$F$329),"")</f>
        <v/>
      </c>
      <c r="T50" s="23" t="str">
        <f>IF(C50&lt;&gt;"",SUMIF(Resultados!$E$332:$E$357,'Temporada 2025'!C50,Resultados!$F$332:$F$357),"")</f>
        <v/>
      </c>
      <c r="U50" s="23" t="str">
        <f>IF(C50&lt;&gt;"",SUMIF(Resultados!$E$360:$E$385,'Temporada 2025'!C50,Resultados!$F$360:$F$385),"")</f>
        <v/>
      </c>
      <c r="V50" s="23" t="str">
        <f>IF(C50&lt;&gt;"",SUMIF(Resultados!$E$389:$E$437,'Temporada 2025'!C50,Resultados!$F$389:$F$437),"")</f>
        <v/>
      </c>
      <c r="W50" s="23" t="str">
        <f>IF(C50&lt;&gt;"",SUMIF(Resultados!$E$440:$E$465,'Temporada 2025'!C50,Resultados!$F$440:$F$465),"")</f>
        <v/>
      </c>
      <c r="X50" s="23" t="str">
        <f>IF(C50&lt;&gt;"",SUMIF(Resultados!$E$468:$E$493,'Temporada 2025'!C50,Resultados!$F$468:$F$493),"")</f>
        <v/>
      </c>
      <c r="Y50" s="23" t="str">
        <f>IF(C50&lt;&gt;"",SUMIF(Resultados!$E$496:$E$521,'Temporada 2025'!C50,Resultados!$F$496:$F$521),"")</f>
        <v/>
      </c>
      <c r="Z50" s="23" t="str">
        <f>IF(C50&lt;&gt;"",SUMIF(Resultados!$E$524:$E$549,'Temporada 2025'!C50,Resultados!$F$524:$F$549),"")</f>
        <v/>
      </c>
      <c r="AA50" s="23" t="str">
        <f>IF(C50&lt;&gt;"",SUMIF(Resultados!$E$552:$E$577,'Temporada 2025'!C50,Resultados!$F$552:$F$577),"")</f>
        <v/>
      </c>
      <c r="AB50" s="23" t="str">
        <f>IF(C50&lt;&gt;"",SUMIF(Resultados!$E$581:$E$629,'Temporada 2025'!C50,Resultados!$F$581:$F$629),"")</f>
        <v/>
      </c>
      <c r="AC50" s="23" t="str">
        <f>IF(C50&lt;&gt;"",SUMIF(Resultados!$E$632:$E$657,'Temporada 2025'!C50,Resultados!$F$632:$F$657),"")</f>
        <v/>
      </c>
      <c r="AD50" s="23" t="str">
        <f>IF(C50&lt;&gt;"",SUMIF(Resultados!$E$661:$E$709,'Temporada 2025'!C50,Resultados!$F$661:$F$709),"")</f>
        <v/>
      </c>
      <c r="AE50" s="23" t="str">
        <f>IF(C50&lt;&gt;"",SUMIF(Resultados!$E$712:$E$737,'Temporada 2025'!C50,Resultados!$F$712:$F$737),"")</f>
        <v/>
      </c>
      <c r="AF50" s="23" t="str">
        <f>IF(C50&lt;&gt;"",SUMIF(Resultados!$E$741:$E$789,'Temporada 2025'!C50,Resultados!$F$741:$F$789),"")</f>
        <v/>
      </c>
      <c r="AG50" s="23" t="str">
        <f>IF(C50&lt;&gt;"",SUMIF(Resultados!$E$792:$E$817,'Temporada 2025'!C50,Resultados!$F$792:$F$817),"")</f>
        <v/>
      </c>
    </row>
    <row r="51" spans="2:33" x14ac:dyDescent="0.2">
      <c r="B51" s="25" t="str">
        <f>IF('Equipes e Pilotos'!H15&lt;&gt;"",'Equipes e Pilotos'!H15,"")</f>
        <v/>
      </c>
      <c r="C51" s="24" t="str">
        <f>VLOOKUP(B51,'Dummy Table'!$A$34:$B$47,2,FALSE)</f>
        <v/>
      </c>
      <c r="D51" s="28" t="str">
        <f>VLOOKUP(B51,'Dummy Table'!$A$34:$C$47,3,FALSE)</f>
        <v/>
      </c>
      <c r="E51" s="28" t="str">
        <f>VLOOKUP(B51,'Dummy Table'!$A$34:$D$47,4,FALSE)</f>
        <v/>
      </c>
      <c r="F51" s="29" t="str">
        <f>IF(C51&lt;&gt;"",IF(G51+Resultados!$K$30&gt;$G$39,"J","L"),"")</f>
        <v/>
      </c>
      <c r="G51" s="28" t="str">
        <f>VLOOKUP(B51,'Dummy Table'!$A$34:$E$47,5,FALSE)</f>
        <v/>
      </c>
      <c r="H51" s="28" t="str">
        <f t="shared" si="1"/>
        <v/>
      </c>
      <c r="I51" s="30" t="str">
        <f>IF(B51="","",SUMIF(Resultados!$N$3:$N$30,C51,Resultados!$O$3:$O$30))</f>
        <v/>
      </c>
      <c r="J51" s="23" t="str">
        <f>IF(C51&lt;&gt;"",SUMIF(Resultados!$E$4:$E$29,'Temporada 2025'!C51,Resultados!$F$4:$F$29),"")</f>
        <v/>
      </c>
      <c r="K51" s="23" t="str">
        <f>IF(C51&lt;&gt;"",SUMIF(Resultados!$E$33:$E$81,'Temporada 2025'!C51,Resultados!$F$33:$F$81),"")</f>
        <v/>
      </c>
      <c r="L51" s="23" t="str">
        <f>IF(C51&lt;&gt;"",SUMIF(Resultados!$E$84:$E$109,'Temporada 2025'!C51,Resultados!$F$84:$F$109),"")</f>
        <v/>
      </c>
      <c r="M51" s="23" t="str">
        <f>IF(C51&lt;&gt;"",SUMIF(Resultados!$E$112:$E$137,'Temporada 2025'!C51,Resultados!$F$112:$F$137),"")</f>
        <v/>
      </c>
      <c r="N51" s="23" t="str">
        <f>IF(C51&lt;&gt;"",SUMIF(Resultados!$E$140:$E$165,'Temporada 2025'!C51,Resultados!$F$140:$F$165),"")</f>
        <v/>
      </c>
      <c r="O51" s="23" t="str">
        <f>IF(C51&lt;&gt;"",SUMIF(Resultados!$E$169:$E$217,'Temporada 2025'!C51,Resultados!$F$169:$F$217),"")</f>
        <v/>
      </c>
      <c r="P51" s="23" t="str">
        <f>IF(C51&lt;&gt;"",SUMIF(Resultados!$E$220:$E$245,'Temporada 2025'!C51,Resultados!$F$220:$F$245),"")</f>
        <v/>
      </c>
      <c r="Q51" s="23" t="str">
        <f>IF(C51&lt;&gt;"",SUMIF(Resultados!$E$248:$E$273,'Temporada 2025'!C51,Resultados!$F$248:$F$273),"")</f>
        <v/>
      </c>
      <c r="R51" s="23" t="str">
        <f>IF(C51&lt;&gt;"",SUMIF(Resultados!$E$276:$E$301,'Temporada 2025'!C51,Resultados!$F$276:$F$301),"")</f>
        <v/>
      </c>
      <c r="S51" s="23" t="str">
        <f>IF(C51&lt;&gt;"",SUMIF(Resultados!$E$304:$E$329,'Temporada 2025'!C51,Resultados!$F$304:$F$329),"")</f>
        <v/>
      </c>
      <c r="T51" s="23" t="str">
        <f>IF(C51&lt;&gt;"",SUMIF(Resultados!$E$332:$E$357,'Temporada 2025'!C51,Resultados!$F$332:$F$357),"")</f>
        <v/>
      </c>
      <c r="U51" s="23" t="str">
        <f>IF(C51&lt;&gt;"",SUMIF(Resultados!$E$360:$E$385,'Temporada 2025'!C51,Resultados!$F$360:$F$385),"")</f>
        <v/>
      </c>
      <c r="V51" s="23" t="str">
        <f>IF(C51&lt;&gt;"",SUMIF(Resultados!$E$389:$E$437,'Temporada 2025'!C51,Resultados!$F$389:$F$437),"")</f>
        <v/>
      </c>
      <c r="W51" s="23" t="str">
        <f>IF(C51&lt;&gt;"",SUMIF(Resultados!$E$440:$E$465,'Temporada 2025'!C51,Resultados!$F$440:$F$465),"")</f>
        <v/>
      </c>
      <c r="X51" s="23" t="str">
        <f>IF(C51&lt;&gt;"",SUMIF(Resultados!$E$468:$E$493,'Temporada 2025'!C51,Resultados!$F$468:$F$493),"")</f>
        <v/>
      </c>
      <c r="Y51" s="23" t="str">
        <f>IF(C51&lt;&gt;"",SUMIF(Resultados!$E$496:$E$521,'Temporada 2025'!C51,Resultados!$F$496:$F$521),"")</f>
        <v/>
      </c>
      <c r="Z51" s="23" t="str">
        <f>IF(C51&lt;&gt;"",SUMIF(Resultados!$E$524:$E$549,'Temporada 2025'!C51,Resultados!$F$524:$F$549),"")</f>
        <v/>
      </c>
      <c r="AA51" s="23" t="str">
        <f>IF(C51&lt;&gt;"",SUMIF(Resultados!$E$552:$E$577,'Temporada 2025'!C51,Resultados!$F$552:$F$577),"")</f>
        <v/>
      </c>
      <c r="AB51" s="23" t="str">
        <f>IF(C51&lt;&gt;"",SUMIF(Resultados!$E$581:$E$629,'Temporada 2025'!C51,Resultados!$F$581:$F$629),"")</f>
        <v/>
      </c>
      <c r="AC51" s="23" t="str">
        <f>IF(C51&lt;&gt;"",SUMIF(Resultados!$E$632:$E$657,'Temporada 2025'!C51,Resultados!$F$632:$F$657),"")</f>
        <v/>
      </c>
      <c r="AD51" s="23" t="str">
        <f>IF(C51&lt;&gt;"",SUMIF(Resultados!$E$661:$E$709,'Temporada 2025'!C51,Resultados!$F$661:$F$709),"")</f>
        <v/>
      </c>
      <c r="AE51" s="23" t="str">
        <f>IF(C51&lt;&gt;"",SUMIF(Resultados!$E$712:$E$737,'Temporada 2025'!C51,Resultados!$F$712:$F$737),"")</f>
        <v/>
      </c>
      <c r="AF51" s="23" t="str">
        <f>IF(C51&lt;&gt;"",SUMIF(Resultados!$E$741:$E$789,'Temporada 2025'!C51,Resultados!$F$741:$F$789),"")</f>
        <v/>
      </c>
      <c r="AG51" s="23" t="str">
        <f>IF(C51&lt;&gt;"",SUMIF(Resultados!$E$792:$E$817,'Temporada 2025'!C51,Resultados!$F$792:$F$817),"")</f>
        <v/>
      </c>
    </row>
    <row r="54" spans="2:33" x14ac:dyDescent="0.2">
      <c r="B54" s="149" t="s">
        <v>254</v>
      </c>
      <c r="C54" s="149"/>
    </row>
    <row r="55" spans="2:33" ht="12.75" customHeight="1" x14ac:dyDescent="0.2">
      <c r="B55" s="35" t="s">
        <v>249</v>
      </c>
      <c r="C55" s="36" t="s">
        <v>14</v>
      </c>
    </row>
    <row r="56" spans="2:33" ht="12.75" customHeight="1" x14ac:dyDescent="0.2">
      <c r="B56" s="35" t="s">
        <v>250</v>
      </c>
      <c r="C56" s="36" t="s">
        <v>252</v>
      </c>
    </row>
    <row r="57" spans="2:33" x14ac:dyDescent="0.2">
      <c r="B57" s="35" t="s">
        <v>251</v>
      </c>
      <c r="C57" s="36" t="s">
        <v>253</v>
      </c>
      <c r="Z57" s="15"/>
    </row>
    <row r="58" spans="2:33" x14ac:dyDescent="0.2">
      <c r="B58" s="35" t="s">
        <v>405</v>
      </c>
      <c r="C58" s="36" t="s">
        <v>406</v>
      </c>
      <c r="Z58" s="15"/>
    </row>
    <row r="59" spans="2:33" x14ac:dyDescent="0.2">
      <c r="B59" s="35" t="s">
        <v>258</v>
      </c>
      <c r="C59" s="36" t="s">
        <v>233</v>
      </c>
    </row>
  </sheetData>
  <sheetProtection algorithmName="SHA-512" hashValue="x/ZD1uKxnk07nwxCuq004cVjxlVfkTDI0VSVeUCS3up5jm2w67WDvsdllGqESYp5Vh9hZnDDuX9oDopaECSjdA==" saltValue="/Lml5+5xMNZIf4Cn9/lglA==" spinCount="100000" sheet="1" objects="1" scenarios="1" selectLockedCells="1" selectUnlockedCells="1"/>
  <mergeCells count="20"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54:C54"/>
    <mergeCell ref="B37:B38"/>
    <mergeCell ref="B6:B7"/>
    <mergeCell ref="C37:C38"/>
    <mergeCell ref="D37:D38"/>
    <mergeCell ref="H6:H7"/>
    <mergeCell ref="G6:G7"/>
    <mergeCell ref="F6:F7"/>
    <mergeCell ref="J6:AG6"/>
    <mergeCell ref="B2:AG3"/>
    <mergeCell ref="B5:AG5"/>
  </mergeCells>
  <phoneticPr fontId="1" type="noConversion"/>
  <conditionalFormatting sqref="F8:F31">
    <cfRule type="cellIs" dxfId="12" priority="18" operator="equal">
      <formula>"L"</formula>
    </cfRule>
    <cfRule type="cellIs" dxfId="11" priority="19" operator="equal">
      <formula>"J"</formula>
    </cfRule>
  </conditionalFormatting>
  <conditionalFormatting sqref="F39:F51">
    <cfRule type="cellIs" dxfId="10" priority="4" operator="equal">
      <formula>"L"</formula>
    </cfRule>
    <cfRule type="cellIs" dxfId="9" priority="5" operator="equal">
      <formula>"J"</formula>
    </cfRule>
  </conditionalFormatting>
  <hyperlinks>
    <hyperlink ref="B36:Z36" r:id="rId1" display="Planilha produzida por Maurilyn Júnior. @maurilyn - gtspeed.com.br" xr:uid="{00000000-0004-0000-0200-000000000000}"/>
    <hyperlink ref="B36" r:id="rId2" xr:uid="{1FBFCB56-A3BF-4D87-BF2C-1049D9AC5B50}"/>
  </hyperlinks>
  <pageMargins left="0.2" right="0.38" top="0.984251969" bottom="0.984251969" header="0.5" footer="0.5"/>
  <pageSetup paperSize="9" orientation="landscape" horizontalDpi="300" verticalDpi="300" r:id="rId3"/>
  <headerFooter alignWithMargins="0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9" tint="-0.499984740745262"/>
  </sheetPr>
  <dimension ref="A40:A41"/>
  <sheetViews>
    <sheetView showGridLines="0" showRowColHeaders="0" zoomScaleNormal="100" workbookViewId="0">
      <selection activeCell="Y1" sqref="Y1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I36vAt3iAG+D//vvk2zCRdY4pJpoWSsAd6W3YQNrS5e9sCgjX61cnr2TUArMqBp5aROyGBFnNaovXgwc/MYK8Q==" saltValue="z9SXK28JZVgF/HJsX+Rf6g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9" tint="-0.499984740745262"/>
  </sheetPr>
  <dimension ref="A40:A41"/>
  <sheetViews>
    <sheetView showGridLines="0" showRowColHeaders="0" zoomScaleNormal="100" workbookViewId="0">
      <selection activeCell="AA1" sqref="AA1"/>
    </sheetView>
  </sheetViews>
  <sheetFormatPr defaultRowHeight="12.75" x14ac:dyDescent="0.2"/>
  <cols>
    <col min="1" max="16384" width="9.140625" style="12"/>
  </cols>
  <sheetData>
    <row r="40" ht="12.75" customHeight="1" x14ac:dyDescent="0.2"/>
    <row r="41" ht="12.75" customHeight="1" x14ac:dyDescent="0.2"/>
  </sheetData>
  <sheetProtection algorithmName="SHA-512" hashValue="vT3VpE7IMhM5AsXh62Zp/U/dEc0O3ug0dChczQ36jxyJKwYeD+tF+cjuynNkVidE3jq6XuKtm6Htz3yiTU3hZA==" saltValue="H4O2Im13TtkctZUM9f98TQ==" spinCount="100000" sheet="1" objects="1" scenarios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9" tint="-0.249977111117893"/>
    <pageSetUpPr fitToPage="1"/>
  </sheetPr>
  <dimension ref="B2:H76"/>
  <sheetViews>
    <sheetView showGridLines="0" showRowColHeaders="0" topLeftCell="A32" workbookViewId="0"/>
  </sheetViews>
  <sheetFormatPr defaultRowHeight="12.75" customHeight="1" x14ac:dyDescent="0.2"/>
  <cols>
    <col min="1" max="1" width="2.42578125" style="38" customWidth="1"/>
    <col min="2" max="2" width="3.7109375" style="38" customWidth="1"/>
    <col min="3" max="3" width="20.140625" style="39" bestFit="1" customWidth="1"/>
    <col min="4" max="4" width="11.7109375" style="18" bestFit="1" customWidth="1"/>
    <col min="5" max="5" width="81.42578125" style="38" bestFit="1" customWidth="1"/>
    <col min="6" max="6" width="22.7109375" style="38" bestFit="1" customWidth="1"/>
    <col min="7" max="7" width="3.28515625" style="38" customWidth="1"/>
    <col min="8" max="8" width="24" style="40" bestFit="1" customWidth="1"/>
    <col min="9" max="16384" width="9.140625" style="38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41" t="s">
        <v>10</v>
      </c>
      <c r="C4" s="42" t="s">
        <v>23</v>
      </c>
      <c r="D4" s="41" t="s">
        <v>260</v>
      </c>
      <c r="E4" s="41" t="s">
        <v>318</v>
      </c>
      <c r="F4" s="41" t="s">
        <v>24</v>
      </c>
      <c r="G4" s="160" t="s">
        <v>27</v>
      </c>
      <c r="H4" s="160"/>
    </row>
    <row r="5" spans="2:8" ht="12.75" customHeight="1" x14ac:dyDescent="0.2">
      <c r="B5" s="150">
        <v>1</v>
      </c>
      <c r="C5" s="151">
        <f>'Calendário atual'!B2</f>
        <v>45732</v>
      </c>
      <c r="D5" s="156" t="str">
        <f>'Calendário atual'!C2</f>
        <v>Australia</v>
      </c>
      <c r="E5" s="153" t="str">
        <f>'Calendário atual'!D2</f>
        <v>FORMULA 1 LOUIS VUITTON AUSTRALIAN GRAND PRIX 2025</v>
      </c>
      <c r="F5" s="156" t="str">
        <f>'Calendário atual'!E2</f>
        <v>Albert Park</v>
      </c>
      <c r="G5" s="37">
        <v>1</v>
      </c>
      <c r="H5" s="43" t="str">
        <f>IF(Resultados!C4&lt;&gt;"",Resultados!C4,"")</f>
        <v>Lando Norris</v>
      </c>
    </row>
    <row r="6" spans="2:8" ht="12.75" customHeight="1" x14ac:dyDescent="0.2">
      <c r="B6" s="150"/>
      <c r="C6" s="151"/>
      <c r="D6" s="157"/>
      <c r="E6" s="154"/>
      <c r="F6" s="157"/>
      <c r="G6" s="44">
        <v>2</v>
      </c>
      <c r="H6" s="45" t="str">
        <f>IF(Resultados!C5&lt;&gt;"",Resultados!C5,"")</f>
        <v>Max Verstappen</v>
      </c>
    </row>
    <row r="7" spans="2:8" ht="12.75" customHeight="1" x14ac:dyDescent="0.2">
      <c r="B7" s="150"/>
      <c r="C7" s="151"/>
      <c r="D7" s="158"/>
      <c r="E7" s="155"/>
      <c r="F7" s="158"/>
      <c r="G7" s="46">
        <v>3</v>
      </c>
      <c r="H7" s="47" t="str">
        <f>IF(Resultados!C6&lt;&gt;"",Resultados!C6,"")</f>
        <v>George Russell</v>
      </c>
    </row>
    <row r="8" spans="2:8" ht="12.75" customHeight="1" x14ac:dyDescent="0.2">
      <c r="B8" s="161">
        <v>2</v>
      </c>
      <c r="C8" s="151">
        <f>'Calendário atual'!B3</f>
        <v>45739</v>
      </c>
      <c r="D8" s="158" t="str">
        <f>'Calendário atual'!C3</f>
        <v>China</v>
      </c>
      <c r="E8" s="153" t="str">
        <f>'Calendário atual'!D3</f>
        <v>FORMULA 1 HEINEKEN CHINESE GRAND PRIX 2025</v>
      </c>
      <c r="F8" s="156" t="str">
        <f>'Calendário atual'!E3</f>
        <v>Shanghai International Circuit</v>
      </c>
      <c r="G8" s="37">
        <v>1</v>
      </c>
      <c r="H8" s="43" t="str">
        <f>IF(Resultados!C56&lt;&gt;"",Resultados!C56,"")</f>
        <v>Oscar Piastri</v>
      </c>
    </row>
    <row r="9" spans="2:8" ht="12.75" customHeight="1" x14ac:dyDescent="0.2">
      <c r="B9" s="150"/>
      <c r="C9" s="151"/>
      <c r="D9" s="152"/>
      <c r="E9" s="154"/>
      <c r="F9" s="157"/>
      <c r="G9" s="44">
        <v>2</v>
      </c>
      <c r="H9" s="45" t="str">
        <f>IF(Resultados!C57&lt;&gt;"",Resultados!C57,"")</f>
        <v>Lando Norris</v>
      </c>
    </row>
    <row r="10" spans="2:8" ht="12.75" customHeight="1" x14ac:dyDescent="0.2">
      <c r="B10" s="150"/>
      <c r="C10" s="151"/>
      <c r="D10" s="152"/>
      <c r="E10" s="155"/>
      <c r="F10" s="158"/>
      <c r="G10" s="46">
        <v>3</v>
      </c>
      <c r="H10" s="47" t="str">
        <f>IF(Resultados!C58&lt;&gt;"",Resultados!C58,"")</f>
        <v>George Russell</v>
      </c>
    </row>
    <row r="11" spans="2:8" ht="12.75" customHeight="1" x14ac:dyDescent="0.2">
      <c r="B11" s="150">
        <v>3</v>
      </c>
      <c r="C11" s="151">
        <f>'Calendário atual'!B4</f>
        <v>45753</v>
      </c>
      <c r="D11" s="152" t="str">
        <f>'Calendário atual'!C4</f>
        <v>Japão</v>
      </c>
      <c r="E11" s="153" t="str">
        <f>'Calendário atual'!D4</f>
        <v>FORMULA 1 LENOVO JAPANESE GRAND PRIX 2025</v>
      </c>
      <c r="F11" s="156" t="str">
        <f>'Calendário atual'!E4</f>
        <v>Suzuka</v>
      </c>
      <c r="G11" s="37">
        <v>1</v>
      </c>
      <c r="H11" s="43" t="str">
        <f>IF(Resultados!C84&lt;&gt;"",Resultados!C84,"")</f>
        <v>Max Verstappen</v>
      </c>
    </row>
    <row r="12" spans="2:8" ht="12.75" customHeight="1" x14ac:dyDescent="0.2">
      <c r="B12" s="150"/>
      <c r="C12" s="151"/>
      <c r="D12" s="152"/>
      <c r="E12" s="154"/>
      <c r="F12" s="157"/>
      <c r="G12" s="44">
        <v>2</v>
      </c>
      <c r="H12" s="45" t="str">
        <f>IF(Resultados!C85&lt;&gt;"",Resultados!C85,"")</f>
        <v>Lando Norris</v>
      </c>
    </row>
    <row r="13" spans="2:8" ht="12.75" customHeight="1" x14ac:dyDescent="0.2">
      <c r="B13" s="150"/>
      <c r="C13" s="151"/>
      <c r="D13" s="152"/>
      <c r="E13" s="155"/>
      <c r="F13" s="158"/>
      <c r="G13" s="46">
        <v>3</v>
      </c>
      <c r="H13" s="47" t="str">
        <f>IF(Resultados!C86&lt;&gt;"",Resultados!C86,"")</f>
        <v>Oscar Piastri</v>
      </c>
    </row>
    <row r="14" spans="2:8" ht="12.75" customHeight="1" x14ac:dyDescent="0.2">
      <c r="B14" s="150">
        <v>4</v>
      </c>
      <c r="C14" s="151">
        <f>'Calendário atual'!B5</f>
        <v>45760</v>
      </c>
      <c r="D14" s="152" t="str">
        <f>'Calendário atual'!C5</f>
        <v>Bahrein</v>
      </c>
      <c r="E14" s="153" t="str">
        <f>'Calendário atual'!D5</f>
        <v>FORMULA 1 GULF AIR BAHRAIN GRAND PRIX 2025</v>
      </c>
      <c r="F14" s="156" t="str">
        <f>'Calendário atual'!E5</f>
        <v>Bahrain International Circuit</v>
      </c>
      <c r="G14" s="37">
        <v>1</v>
      </c>
      <c r="H14" s="43" t="str">
        <f>IF(Resultados!C112&lt;&gt;"",Resultados!C112,"")</f>
        <v>Oscar Piastri</v>
      </c>
    </row>
    <row r="15" spans="2:8" ht="12.75" customHeight="1" x14ac:dyDescent="0.2">
      <c r="B15" s="150"/>
      <c r="C15" s="151"/>
      <c r="D15" s="152"/>
      <c r="E15" s="154"/>
      <c r="F15" s="157"/>
      <c r="G15" s="44">
        <v>2</v>
      </c>
      <c r="H15" s="45" t="str">
        <f>IF(Resultados!C113&lt;&gt;"",Resultados!C113,"")</f>
        <v>George Russell</v>
      </c>
    </row>
    <row r="16" spans="2:8" ht="12.75" customHeight="1" x14ac:dyDescent="0.2">
      <c r="B16" s="150"/>
      <c r="C16" s="151"/>
      <c r="D16" s="152"/>
      <c r="E16" s="155"/>
      <c r="F16" s="158"/>
      <c r="G16" s="46">
        <v>3</v>
      </c>
      <c r="H16" s="47" t="str">
        <f>IF(Resultados!C114&lt;&gt;"",Resultados!C114,"")</f>
        <v>Lando Norris</v>
      </c>
    </row>
    <row r="17" spans="2:8" ht="12.75" customHeight="1" x14ac:dyDescent="0.2">
      <c r="B17" s="150">
        <v>5</v>
      </c>
      <c r="C17" s="151">
        <f>'Calendário atual'!B6</f>
        <v>45767</v>
      </c>
      <c r="D17" s="152" t="str">
        <f>'Calendário atual'!C6</f>
        <v>Arabia Saudita</v>
      </c>
      <c r="E17" s="153" t="str">
        <f>'Calendário atual'!D6</f>
        <v>FORMULA 1 STC SAUDI ARABIAN GRAND PRIX 2025</v>
      </c>
      <c r="F17" s="156" t="str">
        <f>'Calendário atual'!E6</f>
        <v>Jeddah Corniche Circuit</v>
      </c>
      <c r="G17" s="37">
        <v>1</v>
      </c>
      <c r="H17" s="43" t="str">
        <f>IF(Resultados!C140&lt;&gt;"",Resultados!C140,"")</f>
        <v>Oscar Piastri</v>
      </c>
    </row>
    <row r="18" spans="2:8" ht="12.75" customHeight="1" x14ac:dyDescent="0.2">
      <c r="B18" s="150"/>
      <c r="C18" s="151"/>
      <c r="D18" s="152"/>
      <c r="E18" s="154"/>
      <c r="F18" s="157"/>
      <c r="G18" s="44">
        <v>2</v>
      </c>
      <c r="H18" s="45" t="str">
        <f>IF(Resultados!C141&lt;&gt;"",Resultados!C141,"")</f>
        <v>Max Verstappen</v>
      </c>
    </row>
    <row r="19" spans="2:8" ht="12.75" customHeight="1" x14ac:dyDescent="0.2">
      <c r="B19" s="150"/>
      <c r="C19" s="151"/>
      <c r="D19" s="152"/>
      <c r="E19" s="155"/>
      <c r="F19" s="158"/>
      <c r="G19" s="46">
        <v>3</v>
      </c>
      <c r="H19" s="47" t="str">
        <f>IF(Resultados!C142&lt;&gt;"",Resultados!C142,"")</f>
        <v>Charles Leclerc</v>
      </c>
    </row>
    <row r="20" spans="2:8" ht="12.75" customHeight="1" x14ac:dyDescent="0.2">
      <c r="B20" s="150">
        <v>6</v>
      </c>
      <c r="C20" s="151">
        <f>'Calendário atual'!B7</f>
        <v>45781</v>
      </c>
      <c r="D20" s="152" t="str">
        <f>'Calendário atual'!C7</f>
        <v>USA</v>
      </c>
      <c r="E20" s="153" t="str">
        <f>'Calendário atual'!D7</f>
        <v>FORMULA 1 CRYPTO.COM MIAMI GRAND PRIX 2025</v>
      </c>
      <c r="F20" s="152" t="str">
        <f>'Calendário atual'!E7</f>
        <v>Miami International Autodrome</v>
      </c>
      <c r="G20" s="37">
        <v>1</v>
      </c>
      <c r="H20" s="43" t="str">
        <f>IF(Resultados!C192&lt;&gt;"",Resultados!C192,"")</f>
        <v>Oscar Piastri</v>
      </c>
    </row>
    <row r="21" spans="2:8" ht="12.75" customHeight="1" x14ac:dyDescent="0.2">
      <c r="B21" s="150"/>
      <c r="C21" s="151"/>
      <c r="D21" s="152"/>
      <c r="E21" s="154"/>
      <c r="F21" s="152"/>
      <c r="G21" s="44">
        <v>2</v>
      </c>
      <c r="H21" s="45" t="str">
        <f>IF(Resultados!C193&lt;&gt;"",Resultados!C193,"")</f>
        <v>Lando Norris</v>
      </c>
    </row>
    <row r="22" spans="2:8" ht="12.75" customHeight="1" x14ac:dyDescent="0.2">
      <c r="B22" s="150"/>
      <c r="C22" s="151"/>
      <c r="D22" s="152"/>
      <c r="E22" s="155"/>
      <c r="F22" s="152"/>
      <c r="G22" s="46">
        <v>3</v>
      </c>
      <c r="H22" s="47" t="str">
        <f>IF(Resultados!C194&lt;&gt;"",Resultados!C194,"")</f>
        <v>George Russell</v>
      </c>
    </row>
    <row r="23" spans="2:8" ht="12.75" customHeight="1" x14ac:dyDescent="0.2">
      <c r="B23" s="150">
        <v>7</v>
      </c>
      <c r="C23" s="151">
        <f>'Calendário atual'!B8</f>
        <v>45795</v>
      </c>
      <c r="D23" s="152" t="str">
        <f>'Calendário atual'!C8</f>
        <v>Itália</v>
      </c>
      <c r="E23" s="153" t="str">
        <f>'Calendário atual'!D8</f>
        <v>FORMULA 1 AWS GRAN PREMIO DEL MADE IN ITALY E DELL'EMILIA-ROMAGNA 2025</v>
      </c>
      <c r="F23" s="152" t="str">
        <f>'Calendário atual'!E8</f>
        <v>Imola</v>
      </c>
      <c r="G23" s="37">
        <v>1</v>
      </c>
      <c r="H23" s="43" t="str">
        <f>IF(Resultados!C220&lt;&gt;"",Resultados!C220,"")</f>
        <v>Max Verstappen</v>
      </c>
    </row>
    <row r="24" spans="2:8" ht="12.75" customHeight="1" x14ac:dyDescent="0.2">
      <c r="B24" s="150"/>
      <c r="C24" s="151"/>
      <c r="D24" s="152"/>
      <c r="E24" s="154"/>
      <c r="F24" s="152"/>
      <c r="G24" s="44">
        <v>2</v>
      </c>
      <c r="H24" s="45" t="str">
        <f>IF(Resultados!C221&lt;&gt;"",Resultados!C221,"")</f>
        <v>Lando Norris</v>
      </c>
    </row>
    <row r="25" spans="2:8" ht="12.75" customHeight="1" x14ac:dyDescent="0.2">
      <c r="B25" s="150"/>
      <c r="C25" s="151"/>
      <c r="D25" s="152"/>
      <c r="E25" s="155"/>
      <c r="F25" s="152"/>
      <c r="G25" s="46">
        <v>3</v>
      </c>
      <c r="H25" s="47" t="str">
        <f>IF(Resultados!C222&lt;&gt;"",Resultados!C222,"")</f>
        <v>Oscar Piastri</v>
      </c>
    </row>
    <row r="26" spans="2:8" ht="12.75" customHeight="1" x14ac:dyDescent="0.2">
      <c r="B26" s="150">
        <v>8</v>
      </c>
      <c r="C26" s="151">
        <f>'Calendário atual'!B9</f>
        <v>45802</v>
      </c>
      <c r="D26" s="152" t="str">
        <f>'Calendário atual'!C9</f>
        <v>Mônaco</v>
      </c>
      <c r="E26" s="153" t="str">
        <f>'Calendário atual'!D9</f>
        <v>FORMULA 1 TAG HEUER GRAND PRIX DE MONACO 2025</v>
      </c>
      <c r="F26" s="152" t="str">
        <f>'Calendário atual'!E9</f>
        <v>Monaco</v>
      </c>
      <c r="G26" s="37">
        <v>1</v>
      </c>
      <c r="H26" s="43" t="str">
        <f>IF(Resultados!C248&lt;&gt;"",Resultados!C248,"")</f>
        <v>Lando Norris</v>
      </c>
    </row>
    <row r="27" spans="2:8" ht="12.75" customHeight="1" x14ac:dyDescent="0.2">
      <c r="B27" s="150"/>
      <c r="C27" s="151"/>
      <c r="D27" s="152"/>
      <c r="E27" s="154"/>
      <c r="F27" s="152"/>
      <c r="G27" s="44">
        <v>2</v>
      </c>
      <c r="H27" s="45" t="str">
        <f>IF(Resultados!C249&lt;&gt;"",Resultados!C249,"")</f>
        <v>Charles Leclerc</v>
      </c>
    </row>
    <row r="28" spans="2:8" ht="12.75" customHeight="1" x14ac:dyDescent="0.2">
      <c r="B28" s="150"/>
      <c r="C28" s="151"/>
      <c r="D28" s="152"/>
      <c r="E28" s="155"/>
      <c r="F28" s="152"/>
      <c r="G28" s="46">
        <v>3</v>
      </c>
      <c r="H28" s="47" t="str">
        <f>IF(Resultados!C250&lt;&gt;"",Resultados!C250,"")</f>
        <v>Oscar Piastri</v>
      </c>
    </row>
    <row r="29" spans="2:8" ht="12.75" customHeight="1" x14ac:dyDescent="0.2">
      <c r="B29" s="150">
        <v>9</v>
      </c>
      <c r="C29" s="151">
        <f>'Calendário atual'!B10</f>
        <v>45809</v>
      </c>
      <c r="D29" s="152" t="str">
        <f>'Calendário atual'!C10</f>
        <v>Espanha</v>
      </c>
      <c r="E29" s="153" t="str">
        <f>'Calendário atual'!D10</f>
        <v>FORMULA 1 ARAMCO GRAN PREMIO DE ESPAÑA 2025</v>
      </c>
      <c r="F29" s="152" t="str">
        <f>'Calendário atual'!E10</f>
        <v>Circuit de Catalunya</v>
      </c>
      <c r="G29" s="37">
        <v>1</v>
      </c>
      <c r="H29" s="43" t="str">
        <f>IF(Resultados!C276&lt;&gt;"",Resultados!C276,"")</f>
        <v>Oscar Piastri</v>
      </c>
    </row>
    <row r="30" spans="2:8" ht="12.75" customHeight="1" x14ac:dyDescent="0.2">
      <c r="B30" s="150"/>
      <c r="C30" s="151"/>
      <c r="D30" s="152"/>
      <c r="E30" s="154"/>
      <c r="F30" s="152"/>
      <c r="G30" s="44">
        <v>2</v>
      </c>
      <c r="H30" s="45" t="str">
        <f>IF(Resultados!C277&lt;&gt;"",Resultados!C277,"")</f>
        <v>Lando Norris</v>
      </c>
    </row>
    <row r="31" spans="2:8" ht="12.75" customHeight="1" x14ac:dyDescent="0.2">
      <c r="B31" s="150"/>
      <c r="C31" s="151"/>
      <c r="D31" s="152"/>
      <c r="E31" s="155"/>
      <c r="F31" s="152"/>
      <c r="G31" s="46">
        <v>3</v>
      </c>
      <c r="H31" s="47" t="str">
        <f>IF(Resultados!C278&lt;&gt;"",Resultados!C278,"")</f>
        <v>Charles Leclerc</v>
      </c>
    </row>
    <row r="32" spans="2:8" ht="12.75" customHeight="1" x14ac:dyDescent="0.2">
      <c r="B32" s="150">
        <v>10</v>
      </c>
      <c r="C32" s="151">
        <f>'Calendário atual'!B11</f>
        <v>45823</v>
      </c>
      <c r="D32" s="156" t="str">
        <f>'Calendário atual'!C11</f>
        <v>Canadá</v>
      </c>
      <c r="E32" s="153" t="str">
        <f>'Calendário atual'!D11</f>
        <v>FORMULA 1 PIRELLI GRAND PRIX DU CANADA 2025</v>
      </c>
      <c r="F32" s="156" t="str">
        <f>'Calendário atual'!E11</f>
        <v>Circuit Gilles Villeneuve</v>
      </c>
      <c r="G32" s="37">
        <v>1</v>
      </c>
      <c r="H32" s="43" t="str">
        <f>IF(Resultados!C304&lt;&gt;"",Resultados!C304,"")</f>
        <v>George Russell</v>
      </c>
    </row>
    <row r="33" spans="2:8" ht="12.75" customHeight="1" x14ac:dyDescent="0.2">
      <c r="B33" s="150"/>
      <c r="C33" s="151"/>
      <c r="D33" s="157"/>
      <c r="E33" s="154"/>
      <c r="F33" s="157"/>
      <c r="G33" s="44">
        <v>2</v>
      </c>
      <c r="H33" s="45" t="str">
        <f>IF(Resultados!C305&lt;&gt;"",Resultados!C305,"")</f>
        <v>Max Verstappen</v>
      </c>
    </row>
    <row r="34" spans="2:8" ht="12.75" customHeight="1" x14ac:dyDescent="0.2">
      <c r="B34" s="150"/>
      <c r="C34" s="151"/>
      <c r="D34" s="158"/>
      <c r="E34" s="155"/>
      <c r="F34" s="158"/>
      <c r="G34" s="46">
        <v>3</v>
      </c>
      <c r="H34" s="47" t="str">
        <f>IF(Resultados!C306&lt;&gt;"",Resultados!C306,"")</f>
        <v>Kimi Antonelli</v>
      </c>
    </row>
    <row r="35" spans="2:8" ht="12.75" customHeight="1" x14ac:dyDescent="0.2">
      <c r="B35" s="150">
        <v>11</v>
      </c>
      <c r="C35" s="151">
        <f>'Calendário atual'!B12</f>
        <v>45837</v>
      </c>
      <c r="D35" s="152" t="str">
        <f>'Calendário atual'!C12</f>
        <v>Austria</v>
      </c>
      <c r="E35" s="153" t="str">
        <f>'Calendário atual'!D12</f>
        <v>FORMULA 1 MSC CRUISES AUSTRIAN GRAND PRIX 2025</v>
      </c>
      <c r="F35" s="152" t="str">
        <f>'Calendário atual'!E12</f>
        <v>Red Bull Ring</v>
      </c>
      <c r="G35" s="37">
        <v>1</v>
      </c>
      <c r="H35" s="43" t="str">
        <f>IF(Resultados!C332&lt;&gt;"",Resultados!C332,"")</f>
        <v>Lando Norris</v>
      </c>
    </row>
    <row r="36" spans="2:8" ht="12.75" customHeight="1" x14ac:dyDescent="0.2">
      <c r="B36" s="150"/>
      <c r="C36" s="151"/>
      <c r="D36" s="152"/>
      <c r="E36" s="154"/>
      <c r="F36" s="152"/>
      <c r="G36" s="44">
        <v>2</v>
      </c>
      <c r="H36" s="45" t="str">
        <f>IF(Resultados!C333&lt;&gt;"",Resultados!C333,"")</f>
        <v>Oscar Piastri</v>
      </c>
    </row>
    <row r="37" spans="2:8" ht="12.75" customHeight="1" x14ac:dyDescent="0.2">
      <c r="B37" s="150"/>
      <c r="C37" s="151"/>
      <c r="D37" s="152"/>
      <c r="E37" s="155"/>
      <c r="F37" s="152"/>
      <c r="G37" s="46">
        <v>3</v>
      </c>
      <c r="H37" s="47" t="str">
        <f>IF(Resultados!C334&lt;&gt;"",Resultados!C334,"")</f>
        <v>Charles Leclerc</v>
      </c>
    </row>
    <row r="38" spans="2:8" ht="12.75" customHeight="1" x14ac:dyDescent="0.2">
      <c r="B38" s="150">
        <v>12</v>
      </c>
      <c r="C38" s="151">
        <f>'Calendário atual'!B13</f>
        <v>45844</v>
      </c>
      <c r="D38" s="152" t="str">
        <f>'Calendário atual'!C13</f>
        <v>Inglaterra</v>
      </c>
      <c r="E38" s="153" t="str">
        <f>'Calendário atual'!D13</f>
        <v>FORMULA 1 QATAR AIRWAYS BRITISH GRAND PRIX 2025</v>
      </c>
      <c r="F38" s="152" t="str">
        <f>'Calendário atual'!E13</f>
        <v>Silverston</v>
      </c>
      <c r="G38" s="37">
        <v>1</v>
      </c>
      <c r="H38" s="43" t="str">
        <f>IF(Resultados!C360&lt;&gt;"",Resultados!C360,"")</f>
        <v>Lando Norris</v>
      </c>
    </row>
    <row r="39" spans="2:8" ht="12.75" customHeight="1" x14ac:dyDescent="0.2">
      <c r="B39" s="150"/>
      <c r="C39" s="151"/>
      <c r="D39" s="152"/>
      <c r="E39" s="154"/>
      <c r="F39" s="152"/>
      <c r="G39" s="44">
        <v>2</v>
      </c>
      <c r="H39" s="45" t="str">
        <f>IF(Resultados!C361&lt;&gt;"",Resultados!C361,"")</f>
        <v>Oscar Piastri</v>
      </c>
    </row>
    <row r="40" spans="2:8" ht="12.75" customHeight="1" x14ac:dyDescent="0.2">
      <c r="B40" s="150"/>
      <c r="C40" s="151"/>
      <c r="D40" s="152"/>
      <c r="E40" s="155"/>
      <c r="F40" s="152"/>
      <c r="G40" s="46">
        <v>3</v>
      </c>
      <c r="H40" s="47" t="str">
        <f>IF(Resultados!C362&lt;&gt;"",Resultados!C362,"")</f>
        <v>Nico Hulkenberg</v>
      </c>
    </row>
    <row r="41" spans="2:8" ht="12.75" customHeight="1" x14ac:dyDescent="0.2">
      <c r="B41" s="150">
        <v>13</v>
      </c>
      <c r="C41" s="151">
        <f>'Calendário atual'!B14</f>
        <v>45865</v>
      </c>
      <c r="D41" s="152" t="str">
        <f>'Calendário atual'!C14</f>
        <v>Bélgica</v>
      </c>
      <c r="E41" s="153" t="str">
        <f>'Calendário atual'!D14</f>
        <v>FORMULA 1 MOËT &amp; CHANDON BELGIAN GRAND PRIX 2025</v>
      </c>
      <c r="F41" s="152" t="str">
        <f>'Calendário atual'!E14</f>
        <v>Spa-Francorchamps</v>
      </c>
      <c r="G41" s="37">
        <v>1</v>
      </c>
      <c r="H41" s="43" t="str">
        <f>IF(Resultados!C412&lt;&gt;"",Resultados!C412,"")</f>
        <v>Oscar Piastri</v>
      </c>
    </row>
    <row r="42" spans="2:8" ht="12.75" customHeight="1" x14ac:dyDescent="0.2">
      <c r="B42" s="150"/>
      <c r="C42" s="151"/>
      <c r="D42" s="152"/>
      <c r="E42" s="154"/>
      <c r="F42" s="152"/>
      <c r="G42" s="44">
        <v>2</v>
      </c>
      <c r="H42" s="45" t="str">
        <f>IF(Resultados!C413&lt;&gt;"",Resultados!C413,"")</f>
        <v>Lando Norris</v>
      </c>
    </row>
    <row r="43" spans="2:8" ht="12.75" customHeight="1" x14ac:dyDescent="0.2">
      <c r="B43" s="150"/>
      <c r="C43" s="151"/>
      <c r="D43" s="152"/>
      <c r="E43" s="155"/>
      <c r="F43" s="152"/>
      <c r="G43" s="46">
        <v>3</v>
      </c>
      <c r="H43" s="47" t="str">
        <f>IF(Resultados!C414&lt;&gt;"",Resultados!C414,"")</f>
        <v>Charles Leclerc</v>
      </c>
    </row>
    <row r="44" spans="2:8" ht="12.75" customHeight="1" x14ac:dyDescent="0.2">
      <c r="B44" s="150">
        <v>14</v>
      </c>
      <c r="C44" s="151">
        <f>'Calendário atual'!B15</f>
        <v>45872</v>
      </c>
      <c r="D44" s="152" t="str">
        <f>'Calendário atual'!C15</f>
        <v>Hungria</v>
      </c>
      <c r="E44" s="153" t="str">
        <f>'Calendário atual'!D15</f>
        <v>FORMULA 1 LENOVO HUNGARIAN GRAND PRIX 2025</v>
      </c>
      <c r="F44" s="152" t="str">
        <f>'Calendário atual'!E15</f>
        <v>Hungaroring</v>
      </c>
      <c r="G44" s="37">
        <v>1</v>
      </c>
      <c r="H44" s="43" t="str">
        <f>IF(Resultados!C440&lt;&gt;"",Resultados!C440,"")</f>
        <v>Lando Norris</v>
      </c>
    </row>
    <row r="45" spans="2:8" ht="12.75" customHeight="1" x14ac:dyDescent="0.2">
      <c r="B45" s="150"/>
      <c r="C45" s="151"/>
      <c r="D45" s="152"/>
      <c r="E45" s="154"/>
      <c r="F45" s="152"/>
      <c r="G45" s="44">
        <v>2</v>
      </c>
      <c r="H45" s="45" t="str">
        <f>IF(Resultados!C441&lt;&gt;"",Resultados!C441,"")</f>
        <v>Oscar Piastri</v>
      </c>
    </row>
    <row r="46" spans="2:8" ht="12.75" customHeight="1" x14ac:dyDescent="0.2">
      <c r="B46" s="150"/>
      <c r="C46" s="151"/>
      <c r="D46" s="152"/>
      <c r="E46" s="155"/>
      <c r="F46" s="152"/>
      <c r="G46" s="46">
        <v>3</v>
      </c>
      <c r="H46" s="47" t="str">
        <f>IF(Resultados!C442&lt;&gt;"",Resultados!C442,"")</f>
        <v>George Russell</v>
      </c>
    </row>
    <row r="47" spans="2:8" ht="12.75" customHeight="1" x14ac:dyDescent="0.2">
      <c r="B47" s="150">
        <v>15</v>
      </c>
      <c r="C47" s="151">
        <f>'Calendário atual'!B16</f>
        <v>45900</v>
      </c>
      <c r="D47" s="152" t="str">
        <f>'Calendário atual'!C16</f>
        <v>Holanda</v>
      </c>
      <c r="E47" s="153" t="str">
        <f>'Calendário atual'!D16</f>
        <v>FORMULA 1 HEINEKEN DUTCH GRAND PRIX 2025</v>
      </c>
      <c r="F47" s="152" t="str">
        <f>'Calendário atual'!E16</f>
        <v>Zandvoort</v>
      </c>
      <c r="G47" s="37">
        <v>1</v>
      </c>
      <c r="H47" s="43" t="str">
        <f>IF(Resultados!C468&lt;&gt;"",Resultados!C468,"")</f>
        <v>Oscar Piastri</v>
      </c>
    </row>
    <row r="48" spans="2:8" ht="12.75" customHeight="1" x14ac:dyDescent="0.2">
      <c r="B48" s="150"/>
      <c r="C48" s="151"/>
      <c r="D48" s="152"/>
      <c r="E48" s="154"/>
      <c r="F48" s="152"/>
      <c r="G48" s="44">
        <v>2</v>
      </c>
      <c r="H48" s="45" t="str">
        <f>IF(Resultados!C469&lt;&gt;"",Resultados!C469,"")</f>
        <v>Max Verstappen</v>
      </c>
    </row>
    <row r="49" spans="2:8" ht="12.75" customHeight="1" x14ac:dyDescent="0.2">
      <c r="B49" s="150"/>
      <c r="C49" s="151"/>
      <c r="D49" s="152"/>
      <c r="E49" s="155"/>
      <c r="F49" s="152"/>
      <c r="G49" s="46">
        <v>3</v>
      </c>
      <c r="H49" s="47" t="str">
        <f>IF(Resultados!C470&lt;&gt;"",Resultados!C470,"")</f>
        <v>Isack Hadjar</v>
      </c>
    </row>
    <row r="50" spans="2:8" ht="12.75" customHeight="1" x14ac:dyDescent="0.2">
      <c r="B50" s="150">
        <v>16</v>
      </c>
      <c r="C50" s="151">
        <f>'Calendário atual'!B17</f>
        <v>45907</v>
      </c>
      <c r="D50" s="152" t="str">
        <f>'Calendário atual'!C17</f>
        <v>Itália</v>
      </c>
      <c r="E50" s="153" t="str">
        <f>'Calendário atual'!D17</f>
        <v>FORMULA 1 PIRELLI GRAN PREMIO D'ITALIA 2025</v>
      </c>
      <c r="F50" s="152" t="str">
        <f>'Calendário atual'!E17</f>
        <v>Monza</v>
      </c>
      <c r="G50" s="37">
        <v>1</v>
      </c>
      <c r="H50" s="43" t="str">
        <f>IF(Resultados!C496&lt;&gt;"",Resultados!C496,"")</f>
        <v>Max Verstappen</v>
      </c>
    </row>
    <row r="51" spans="2:8" ht="12.75" customHeight="1" x14ac:dyDescent="0.2">
      <c r="B51" s="150"/>
      <c r="C51" s="151"/>
      <c r="D51" s="152"/>
      <c r="E51" s="154"/>
      <c r="F51" s="152"/>
      <c r="G51" s="44">
        <v>2</v>
      </c>
      <c r="H51" s="45" t="str">
        <f>IF(Resultados!C497&lt;&gt;"",Resultados!C497,"")</f>
        <v>Lando Norris</v>
      </c>
    </row>
    <row r="52" spans="2:8" ht="12.75" customHeight="1" x14ac:dyDescent="0.2">
      <c r="B52" s="150"/>
      <c r="C52" s="151"/>
      <c r="D52" s="152"/>
      <c r="E52" s="155"/>
      <c r="F52" s="152"/>
      <c r="G52" s="46">
        <v>3</v>
      </c>
      <c r="H52" s="47" t="str">
        <f>IF(Resultados!C498&lt;&gt;"",Resultados!C498,"")</f>
        <v>Oscar Piastri</v>
      </c>
    </row>
    <row r="53" spans="2:8" ht="12.75" customHeight="1" x14ac:dyDescent="0.2">
      <c r="B53" s="150">
        <v>17</v>
      </c>
      <c r="C53" s="151">
        <f>'Calendário atual'!B18</f>
        <v>45921</v>
      </c>
      <c r="D53" s="152" t="str">
        <f>'Calendário atual'!C18</f>
        <v>Azerbaijão</v>
      </c>
      <c r="E53" s="153" t="str">
        <f>'Calendário atual'!D18</f>
        <v>FORMULA 1 QATAR AIRWAYS AZERBAIJAN GRAND PRIX 2025</v>
      </c>
      <c r="F53" s="152" t="str">
        <f>'Calendário atual'!E18</f>
        <v>Baku City Circuit</v>
      </c>
      <c r="G53" s="37">
        <v>1</v>
      </c>
      <c r="H53" s="43" t="str">
        <f>IF(Resultados!C524&lt;&gt;"",Resultados!C524,"")</f>
        <v>Max Verstappen</v>
      </c>
    </row>
    <row r="54" spans="2:8" ht="12.75" customHeight="1" x14ac:dyDescent="0.2">
      <c r="B54" s="150"/>
      <c r="C54" s="151"/>
      <c r="D54" s="152"/>
      <c r="E54" s="154"/>
      <c r="F54" s="152"/>
      <c r="G54" s="44">
        <v>2</v>
      </c>
      <c r="H54" s="45" t="str">
        <f>IF(Resultados!C525&lt;&gt;"",Resultados!C525,"")</f>
        <v>George Russell</v>
      </c>
    </row>
    <row r="55" spans="2:8" ht="12.75" customHeight="1" x14ac:dyDescent="0.2">
      <c r="B55" s="150"/>
      <c r="C55" s="151"/>
      <c r="D55" s="152"/>
      <c r="E55" s="155"/>
      <c r="F55" s="152"/>
      <c r="G55" s="46">
        <v>3</v>
      </c>
      <c r="H55" s="47" t="str">
        <f>IF(Resultados!C526&lt;&gt;"",Resultados!C526,"")</f>
        <v>Carlos Sainz</v>
      </c>
    </row>
    <row r="56" spans="2:8" ht="12.75" customHeight="1" x14ac:dyDescent="0.2">
      <c r="B56" s="150">
        <v>18</v>
      </c>
      <c r="C56" s="151">
        <f>'Calendário atual'!B19</f>
        <v>45935</v>
      </c>
      <c r="D56" s="152" t="str">
        <f>'Calendário atual'!C19</f>
        <v>Singapura</v>
      </c>
      <c r="E56" s="153" t="str">
        <f>'Calendário atual'!D19</f>
        <v>FORMULA 1 SINGAPORE AIRLINES SINGAPORE GRAND PRIX 2025</v>
      </c>
      <c r="F56" s="152" t="str">
        <f>'Calendário atual'!E19</f>
        <v>Singapore</v>
      </c>
      <c r="G56" s="37">
        <v>1</v>
      </c>
      <c r="H56" s="43" t="str">
        <f>IF(Resultados!C552&lt;&gt;"",Resultados!C552,"")</f>
        <v>George Russell</v>
      </c>
    </row>
    <row r="57" spans="2:8" ht="12.75" customHeight="1" x14ac:dyDescent="0.2">
      <c r="B57" s="150"/>
      <c r="C57" s="151"/>
      <c r="D57" s="152"/>
      <c r="E57" s="154"/>
      <c r="F57" s="152"/>
      <c r="G57" s="44">
        <v>2</v>
      </c>
      <c r="H57" s="45" t="str">
        <f>IF(Resultados!C553&lt;&gt;"",Resultados!C553,"")</f>
        <v>Max Verstappen</v>
      </c>
    </row>
    <row r="58" spans="2:8" ht="12.75" customHeight="1" x14ac:dyDescent="0.2">
      <c r="B58" s="150"/>
      <c r="C58" s="151"/>
      <c r="D58" s="152"/>
      <c r="E58" s="155"/>
      <c r="F58" s="152"/>
      <c r="G58" s="46">
        <v>3</v>
      </c>
      <c r="H58" s="47" t="str">
        <f>IF(Resultados!C554&lt;&gt;"",Resultados!C554,"")</f>
        <v>Lando Norris</v>
      </c>
    </row>
    <row r="59" spans="2:8" ht="12.75" customHeight="1" x14ac:dyDescent="0.2">
      <c r="B59" s="150">
        <v>19</v>
      </c>
      <c r="C59" s="151">
        <f>'Calendário atual'!B20</f>
        <v>45949</v>
      </c>
      <c r="D59" s="152" t="str">
        <f>'Calendário atual'!C20</f>
        <v>USA</v>
      </c>
      <c r="E59" s="153" t="str">
        <f>'Calendário atual'!D20</f>
        <v>FORMULA 1 MSC CRUISES UNITED STATES GRAND PRIX 2025</v>
      </c>
      <c r="F59" s="152" t="str">
        <f>'Calendário atual'!E20</f>
        <v>Circuit of the Americas</v>
      </c>
      <c r="G59" s="37">
        <v>1</v>
      </c>
      <c r="H59" s="43" t="str">
        <f>IF(Resultados!C604&lt;&gt;"",Resultados!C604,"")</f>
        <v>Max Verstappen</v>
      </c>
    </row>
    <row r="60" spans="2:8" ht="12.75" customHeight="1" x14ac:dyDescent="0.2">
      <c r="B60" s="150"/>
      <c r="C60" s="151"/>
      <c r="D60" s="152"/>
      <c r="E60" s="154"/>
      <c r="F60" s="152"/>
      <c r="G60" s="44">
        <v>2</v>
      </c>
      <c r="H60" s="45" t="str">
        <f>IF(Resultados!C605&lt;&gt;"",Resultados!C605,"")</f>
        <v>Lando Norris</v>
      </c>
    </row>
    <row r="61" spans="2:8" ht="12.75" customHeight="1" x14ac:dyDescent="0.2">
      <c r="B61" s="150"/>
      <c r="C61" s="151"/>
      <c r="D61" s="152"/>
      <c r="E61" s="155"/>
      <c r="F61" s="152"/>
      <c r="G61" s="46">
        <v>3</v>
      </c>
      <c r="H61" s="47" t="str">
        <f>IF(Resultados!C606&lt;&gt;"",Resultados!C606,"")</f>
        <v>Charles Leclerc</v>
      </c>
    </row>
    <row r="62" spans="2:8" ht="12.75" customHeight="1" x14ac:dyDescent="0.2">
      <c r="B62" s="150">
        <v>20</v>
      </c>
      <c r="C62" s="151">
        <f>'Calendário atual'!B21</f>
        <v>45956</v>
      </c>
      <c r="D62" s="152" t="str">
        <f>'Calendário atual'!C21</f>
        <v>México</v>
      </c>
      <c r="E62" s="153" t="str">
        <f>'Calendário atual'!D21</f>
        <v>FORMULA 1  GRAN PREMIO DE LA CIUDAD DE MÉXICO 2025</v>
      </c>
      <c r="F62" s="152" t="str">
        <f>'Calendário atual'!E21</f>
        <v>Autodromo Hermanos Rodriguez</v>
      </c>
      <c r="G62" s="37">
        <v>1</v>
      </c>
      <c r="H62" s="43" t="str">
        <f>IF(Resultados!C632&lt;&gt;"",Resultados!C632,"")</f>
        <v>Lando Norris</v>
      </c>
    </row>
    <row r="63" spans="2:8" ht="12.75" customHeight="1" x14ac:dyDescent="0.2">
      <c r="B63" s="150"/>
      <c r="C63" s="151"/>
      <c r="D63" s="152"/>
      <c r="E63" s="154"/>
      <c r="F63" s="152"/>
      <c r="G63" s="44">
        <v>2</v>
      </c>
      <c r="H63" s="45" t="str">
        <f>IF(Resultados!C633&lt;&gt;"",Resultados!C633,"")</f>
        <v>Charles Leclerc</v>
      </c>
    </row>
    <row r="64" spans="2:8" ht="12.75" customHeight="1" x14ac:dyDescent="0.2">
      <c r="B64" s="150"/>
      <c r="C64" s="151"/>
      <c r="D64" s="152"/>
      <c r="E64" s="155"/>
      <c r="F64" s="152"/>
      <c r="G64" s="46">
        <v>3</v>
      </c>
      <c r="H64" s="47" t="str">
        <f>IF(Resultados!C634&lt;&gt;"",Resultados!C634,"")</f>
        <v>Max Verstappen</v>
      </c>
    </row>
    <row r="65" spans="2:8" ht="12.75" customHeight="1" x14ac:dyDescent="0.2">
      <c r="B65" s="150">
        <v>21</v>
      </c>
      <c r="C65" s="151">
        <f>'Calendário atual'!B22</f>
        <v>45970</v>
      </c>
      <c r="D65" s="152" t="str">
        <f>'Calendário atual'!C22</f>
        <v>Brasil</v>
      </c>
      <c r="E65" s="153" t="str">
        <f>'Calendário atual'!D22</f>
        <v>FORMULA 1 MSC CRUISES GRANDE PRÊMIO DE SÃO PAULO 2025</v>
      </c>
      <c r="F65" s="152" t="str">
        <f>'Calendário atual'!E22</f>
        <v>Interlagos</v>
      </c>
      <c r="G65" s="37">
        <v>1</v>
      </c>
      <c r="H65" s="43" t="str">
        <f>IF(Resultados!C684&lt;&gt;"",Resultados!C684,"")</f>
        <v>Lando Norris</v>
      </c>
    </row>
    <row r="66" spans="2:8" ht="12.75" customHeight="1" x14ac:dyDescent="0.2">
      <c r="B66" s="150"/>
      <c r="C66" s="151"/>
      <c r="D66" s="152"/>
      <c r="E66" s="154"/>
      <c r="F66" s="152"/>
      <c r="G66" s="44">
        <v>2</v>
      </c>
      <c r="H66" s="45" t="str">
        <f>IF(Resultados!C685&lt;&gt;"",Resultados!C685,"")</f>
        <v>Kimi Antonelli</v>
      </c>
    </row>
    <row r="67" spans="2:8" ht="12.75" customHeight="1" x14ac:dyDescent="0.2">
      <c r="B67" s="150"/>
      <c r="C67" s="151"/>
      <c r="D67" s="152"/>
      <c r="E67" s="155"/>
      <c r="F67" s="152"/>
      <c r="G67" s="46">
        <v>3</v>
      </c>
      <c r="H67" s="47" t="str">
        <f>IF(Resultados!C686&lt;&gt;"",Resultados!C686,"")</f>
        <v>Max Verstappen</v>
      </c>
    </row>
    <row r="68" spans="2:8" ht="12.75" customHeight="1" x14ac:dyDescent="0.2">
      <c r="B68" s="150">
        <v>22</v>
      </c>
      <c r="C68" s="151">
        <f>'Calendário atual'!B23</f>
        <v>45983</v>
      </c>
      <c r="D68" s="152" t="str">
        <f>'Calendário atual'!C23</f>
        <v>USA</v>
      </c>
      <c r="E68" s="153" t="str">
        <f>'Calendário atual'!D23</f>
        <v>FORMULA 1 HEINEKEN LAS VEGAS GRAND PRIX 2025</v>
      </c>
      <c r="F68" s="152" t="str">
        <f>'Calendário atual'!E23</f>
        <v>Las Vegas Strip Circuit</v>
      </c>
      <c r="G68" s="37">
        <v>1</v>
      </c>
      <c r="H68" s="43" t="str">
        <f>IF(Resultados!C712&lt;&gt;"",Resultados!C712,"")</f>
        <v>Max Verstappen</v>
      </c>
    </row>
    <row r="69" spans="2:8" ht="12.75" customHeight="1" x14ac:dyDescent="0.2">
      <c r="B69" s="150"/>
      <c r="C69" s="151"/>
      <c r="D69" s="152"/>
      <c r="E69" s="154"/>
      <c r="F69" s="152"/>
      <c r="G69" s="44">
        <v>2</v>
      </c>
      <c r="H69" s="45" t="str">
        <f>IF(Resultados!C713&lt;&gt;"",Resultados!C713,"")</f>
        <v>George Russell</v>
      </c>
    </row>
    <row r="70" spans="2:8" ht="12.75" customHeight="1" x14ac:dyDescent="0.2">
      <c r="B70" s="150"/>
      <c r="C70" s="151"/>
      <c r="D70" s="152"/>
      <c r="E70" s="155"/>
      <c r="F70" s="152"/>
      <c r="G70" s="46">
        <v>3</v>
      </c>
      <c r="H70" s="47" t="str">
        <f>IF(Resultados!C714&lt;&gt;"",Resultados!C714,"")</f>
        <v>Kimi Antonelli</v>
      </c>
    </row>
    <row r="71" spans="2:8" ht="12.75" customHeight="1" x14ac:dyDescent="0.2">
      <c r="B71" s="150">
        <v>23</v>
      </c>
      <c r="C71" s="151">
        <f>'Calendário atual'!B24</f>
        <v>45991</v>
      </c>
      <c r="D71" s="152" t="str">
        <f>'Calendário atual'!C24</f>
        <v>Qatar</v>
      </c>
      <c r="E71" s="153" t="str">
        <f>'Calendário atual'!D24</f>
        <v>FORMULA 1 QATAR AIRWAYS QATAR GRAND PRIX 2025</v>
      </c>
      <c r="F71" s="152" t="str">
        <f>'Calendário atual'!E24</f>
        <v>Losail International Circuit</v>
      </c>
      <c r="G71" s="37">
        <v>1</v>
      </c>
      <c r="H71" s="43" t="str">
        <f>IF(Resultados!C764&lt;&gt;"",Resultados!C764,"")</f>
        <v>Max Verstappen</v>
      </c>
    </row>
    <row r="72" spans="2:8" ht="12.75" customHeight="1" x14ac:dyDescent="0.2">
      <c r="B72" s="150"/>
      <c r="C72" s="151"/>
      <c r="D72" s="152"/>
      <c r="E72" s="154"/>
      <c r="F72" s="152"/>
      <c r="G72" s="44">
        <v>2</v>
      </c>
      <c r="H72" s="45" t="str">
        <f>IF(Resultados!C765&lt;&gt;"",Resultados!C765,"")</f>
        <v>Oscar Piastri</v>
      </c>
    </row>
    <row r="73" spans="2:8" ht="12.75" customHeight="1" x14ac:dyDescent="0.2">
      <c r="B73" s="150"/>
      <c r="C73" s="151"/>
      <c r="D73" s="152"/>
      <c r="E73" s="155"/>
      <c r="F73" s="152"/>
      <c r="G73" s="46">
        <v>3</v>
      </c>
      <c r="H73" s="47" t="str">
        <f>IF(Resultados!C766&lt;&gt;"",Resultados!C766,"")</f>
        <v>Carlos Sainz</v>
      </c>
    </row>
    <row r="74" spans="2:8" ht="12.75" customHeight="1" x14ac:dyDescent="0.2">
      <c r="B74" s="150">
        <v>24</v>
      </c>
      <c r="C74" s="151">
        <f>'Calendário atual'!B25</f>
        <v>45998</v>
      </c>
      <c r="D74" s="152" t="str">
        <f>'Calendário atual'!C25</f>
        <v>Abu Dhabi</v>
      </c>
      <c r="E74" s="153" t="str">
        <f>'Calendário atual'!D25</f>
        <v>FORMULA 1 ETIHAD AIRWAYS ABU DHABI GRAND PRIX 2025</v>
      </c>
      <c r="F74" s="152" t="str">
        <f>'Calendário atual'!E25</f>
        <v>Yas Marina Circuit</v>
      </c>
      <c r="G74" s="37">
        <v>1</v>
      </c>
      <c r="H74" s="43" t="str">
        <f>IF(Resultados!C792&lt;&gt;"",Resultados!C792,"")</f>
        <v/>
      </c>
    </row>
    <row r="75" spans="2:8" ht="12.75" customHeight="1" x14ac:dyDescent="0.2">
      <c r="B75" s="150"/>
      <c r="C75" s="151"/>
      <c r="D75" s="152"/>
      <c r="E75" s="154"/>
      <c r="F75" s="152"/>
      <c r="G75" s="44">
        <v>2</v>
      </c>
      <c r="H75" s="45" t="str">
        <f>IF(Resultados!C793&lt;&gt;"",Resultados!C793,"")</f>
        <v/>
      </c>
    </row>
    <row r="76" spans="2:8" ht="12.75" customHeight="1" x14ac:dyDescent="0.2">
      <c r="B76" s="150"/>
      <c r="C76" s="151"/>
      <c r="D76" s="152"/>
      <c r="E76" s="155"/>
      <c r="F76" s="152"/>
      <c r="G76" s="46">
        <v>3</v>
      </c>
      <c r="H76" s="47" t="str">
        <f>IF(Resultados!C794&lt;&gt;"",Resultados!C794,"")</f>
        <v/>
      </c>
    </row>
  </sheetData>
  <sheetProtection password="CC01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9" tint="-0.499984740745262"/>
  </sheetPr>
  <dimension ref="A1:Z856"/>
  <sheetViews>
    <sheetView showGridLines="0" showRowColHeaders="0" topLeftCell="A764" workbookViewId="0">
      <selection activeCell="C792" sqref="C792"/>
    </sheetView>
  </sheetViews>
  <sheetFormatPr defaultRowHeight="12.75" x14ac:dyDescent="0.2"/>
  <cols>
    <col min="1" max="1" width="2.7109375" style="62" customWidth="1"/>
    <col min="2" max="2" width="9.140625" style="66"/>
    <col min="3" max="3" width="35.7109375" style="87" customWidth="1"/>
    <col min="4" max="5" width="25.7109375" style="71" customWidth="1"/>
    <col min="6" max="6" width="16.5703125" style="66" bestFit="1" customWidth="1"/>
    <col min="7" max="8" width="3.28515625" style="66" hidden="1" customWidth="1"/>
    <col min="9" max="9" width="6.28515625" style="66" hidden="1" customWidth="1"/>
    <col min="10" max="10" width="3.85546875" style="67" hidden="1" customWidth="1"/>
    <col min="11" max="11" width="17" style="68" hidden="1" customWidth="1"/>
    <col min="12" max="12" width="8.85546875" style="68" hidden="1" customWidth="1"/>
    <col min="13" max="13" width="14.7109375" style="69" hidden="1" customWidth="1"/>
    <col min="14" max="14" width="11.28515625" style="69" hidden="1" customWidth="1"/>
    <col min="15" max="15" width="8" style="69" hidden="1" customWidth="1"/>
    <col min="16" max="16" width="14.7109375" style="68" hidden="1" customWidth="1"/>
    <col min="17" max="17" width="11.28515625" style="68" hidden="1" customWidth="1"/>
    <col min="18" max="18" width="5.5703125" style="68" hidden="1" customWidth="1"/>
    <col min="19" max="19" width="14.7109375" style="68" hidden="1" customWidth="1"/>
    <col min="20" max="20" width="11.28515625" style="68" hidden="1" customWidth="1"/>
    <col min="21" max="21" width="6.28515625" style="68" hidden="1" customWidth="1"/>
    <col min="22" max="23" width="4" style="70" hidden="1" customWidth="1"/>
    <col min="24" max="26" width="9.140625" style="70"/>
    <col min="27" max="16384" width="9.140625" style="71"/>
  </cols>
  <sheetData>
    <row r="1" spans="1:26" x14ac:dyDescent="0.2">
      <c r="B1" s="63"/>
      <c r="C1" s="64"/>
      <c r="D1" s="65"/>
      <c r="E1" s="65"/>
      <c r="F1" s="63"/>
    </row>
    <row r="2" spans="1:26" x14ac:dyDescent="0.2">
      <c r="A2" s="62">
        <v>1</v>
      </c>
      <c r="B2" s="88">
        <f>VLOOKUP($A2,'Calendário atual'!$A$2:$E$30,2,FALSE)</f>
        <v>45732</v>
      </c>
      <c r="C2" s="162" t="str">
        <f>VLOOKUP($A2,'Calendário atual'!$A$2:$E$30,4,FALSE)</f>
        <v>FORMULA 1 LOUIS VUITTON AUSTRALIAN GRAND PRIX 2025</v>
      </c>
      <c r="D2" s="162"/>
      <c r="E2" s="162"/>
      <c r="F2" s="88" t="str">
        <f>VLOOKUP($A2,'Calendário atual'!$A$2:$E$30,3,FALSE)</f>
        <v>Australia</v>
      </c>
      <c r="G2" s="72"/>
      <c r="H2" s="72"/>
      <c r="I2" s="72"/>
      <c r="J2" s="73">
        <f>IF(K2="","",J1+1)</f>
        <v>1</v>
      </c>
      <c r="K2" s="71" t="str">
        <f>IF('Equipes e Pilotos'!C3&lt;&gt;"",'Equipes e Pilotos'!C3,"")</f>
        <v>Lando Norris</v>
      </c>
      <c r="M2" s="164" t="s">
        <v>233</v>
      </c>
      <c r="N2" s="164"/>
      <c r="O2" s="164"/>
      <c r="P2" s="164" t="s">
        <v>234</v>
      </c>
      <c r="Q2" s="164"/>
      <c r="R2" s="164"/>
      <c r="S2" s="163" t="s">
        <v>268</v>
      </c>
      <c r="T2" s="163"/>
      <c r="U2" s="163"/>
      <c r="V2" s="68"/>
      <c r="W2" s="68"/>
      <c r="X2" s="68"/>
    </row>
    <row r="3" spans="1:26" x14ac:dyDescent="0.2">
      <c r="B3" s="61" t="s">
        <v>14</v>
      </c>
      <c r="C3" s="61" t="s">
        <v>29</v>
      </c>
      <c r="D3" s="61" t="s">
        <v>16</v>
      </c>
      <c r="E3" s="61" t="s">
        <v>17</v>
      </c>
      <c r="F3" s="61" t="s">
        <v>18</v>
      </c>
      <c r="J3" s="73">
        <f>IF(K3="","",J2+1)</f>
        <v>2</v>
      </c>
      <c r="K3" s="71" t="str">
        <f>IF('Equipes e Pilotos'!C4&lt;&gt;"",'Equipes e Pilotos'!C4,"")</f>
        <v>Oscar Piastri</v>
      </c>
      <c r="M3" s="74" t="str">
        <f>C4</f>
        <v>Lando Norris</v>
      </c>
      <c r="N3" s="74" t="str">
        <f>E4</f>
        <v>McLaren 🏆</v>
      </c>
      <c r="O3" s="74">
        <v>1</v>
      </c>
      <c r="P3" s="74" t="str">
        <f>C28</f>
        <v>Lando Norris</v>
      </c>
      <c r="Q3" s="74" t="str">
        <f>E28</f>
        <v>McLaren 🏆</v>
      </c>
      <c r="R3" s="74">
        <v>1</v>
      </c>
      <c r="S3" s="74" t="str">
        <f>C29</f>
        <v>Lando Norris</v>
      </c>
      <c r="T3" s="74" t="str">
        <f>E29</f>
        <v>McLaren 🏆</v>
      </c>
      <c r="U3" s="68">
        <v>1</v>
      </c>
      <c r="V3" s="68"/>
      <c r="W3" s="68"/>
      <c r="X3" s="68"/>
    </row>
    <row r="4" spans="1:26" x14ac:dyDescent="0.2">
      <c r="B4" s="59">
        <f>$J$2</f>
        <v>1</v>
      </c>
      <c r="C4" s="48" t="s">
        <v>316</v>
      </c>
      <c r="D4" s="49" t="str">
        <f>IF(C4&lt;&gt;"",VLOOKUP(C4,'Dummy Table'!$B$3:$C$30,2,FALSE),"")</f>
        <v>Inglaterra</v>
      </c>
      <c r="E4" s="49" t="str">
        <f>IF(C4&lt;&gt;"",VLOOKUP(C4,'Dummy Table'!$B$3:$D$30,3,FALSE),"")</f>
        <v>McLaren 🏆</v>
      </c>
      <c r="F4" s="50">
        <v>25</v>
      </c>
      <c r="G4" s="66">
        <f>IF(C4="",F4,0)</f>
        <v>0</v>
      </c>
      <c r="H4" s="66">
        <f>IF(C4="",F4,0)</f>
        <v>0</v>
      </c>
      <c r="I4" s="66">
        <f>IF(C4="",1,0)</f>
        <v>0</v>
      </c>
      <c r="J4" s="73">
        <f t="shared" ref="J4:J27" si="0">IF(K4="","",J3+1)</f>
        <v>3</v>
      </c>
      <c r="K4" s="71" t="str">
        <f>IF('Equipes e Pilotos'!C5&lt;&gt;"",'Equipes e Pilotos'!C5,"")</f>
        <v>Charles Leclerc</v>
      </c>
      <c r="M4" s="74" t="str">
        <f>C56</f>
        <v>Oscar Piastri</v>
      </c>
      <c r="N4" s="74" t="str">
        <f>E56</f>
        <v>McLaren 🏆</v>
      </c>
      <c r="O4" s="74">
        <v>1</v>
      </c>
      <c r="P4" s="74" t="str">
        <f>C80</f>
        <v>Oscar Piastri</v>
      </c>
      <c r="Q4" s="74" t="str">
        <f>E80</f>
        <v>McLaren 🏆</v>
      </c>
      <c r="R4" s="74">
        <v>1</v>
      </c>
      <c r="S4" s="74" t="str">
        <f>C81</f>
        <v>Lewis Hamilton</v>
      </c>
      <c r="T4" s="74" t="str">
        <f>E81</f>
        <v>Ferrari</v>
      </c>
      <c r="U4" s="68">
        <v>1</v>
      </c>
      <c r="V4" s="68"/>
      <c r="W4" s="68"/>
      <c r="X4" s="68"/>
    </row>
    <row r="5" spans="1:26" x14ac:dyDescent="0.2">
      <c r="B5" s="60">
        <f>$J$3</f>
        <v>2</v>
      </c>
      <c r="C5" s="48" t="s">
        <v>305</v>
      </c>
      <c r="D5" s="49" t="str">
        <f>IF(C5&lt;&gt;"",VLOOKUP(C5,'Dummy Table'!$B$3:$C$30,2,FALSE),"")</f>
        <v>Holanda</v>
      </c>
      <c r="E5" s="49" t="str">
        <f>IF(C5&lt;&gt;"",VLOOKUP(C5,'Dummy Table'!$B$3:$D$30,3,FALSE),"")</f>
        <v>Red Bull</v>
      </c>
      <c r="F5" s="50">
        <v>18</v>
      </c>
      <c r="H5" s="66">
        <f>IF(C5="",F5,0)</f>
        <v>0</v>
      </c>
      <c r="J5" s="73">
        <f t="shared" si="0"/>
        <v>4</v>
      </c>
      <c r="K5" s="71" t="str">
        <f>IF('Equipes e Pilotos'!C6&lt;&gt;"",'Equipes e Pilotos'!C6,"")</f>
        <v>Lewis Hamilton</v>
      </c>
      <c r="M5" s="74" t="str">
        <f>C84</f>
        <v>Max Verstappen</v>
      </c>
      <c r="N5" s="74" t="str">
        <f>E84</f>
        <v>Red Bull</v>
      </c>
      <c r="O5" s="74">
        <v>1</v>
      </c>
      <c r="P5" s="74" t="str">
        <f>C108</f>
        <v>Max Verstappen</v>
      </c>
      <c r="Q5" s="74" t="str">
        <f>E108</f>
        <v>Red Bull</v>
      </c>
      <c r="R5" s="74">
        <v>1</v>
      </c>
      <c r="S5" s="74" t="str">
        <f>C109</f>
        <v>Kimi Antonelli</v>
      </c>
      <c r="T5" s="74" t="str">
        <f>E109</f>
        <v>Mercedes</v>
      </c>
      <c r="U5" s="68">
        <v>1</v>
      </c>
      <c r="V5" s="68"/>
      <c r="W5" s="68"/>
      <c r="X5" s="68"/>
    </row>
    <row r="6" spans="1:26" x14ac:dyDescent="0.2">
      <c r="B6" s="60">
        <f>$J$4</f>
        <v>3</v>
      </c>
      <c r="C6" s="48" t="s">
        <v>394</v>
      </c>
      <c r="D6" s="49" t="str">
        <f>IF(C6&lt;&gt;"",VLOOKUP(C6,'Dummy Table'!$B$3:$C$30,2,FALSE),"")</f>
        <v>Inglaterra</v>
      </c>
      <c r="E6" s="49" t="str">
        <f>IF(C6&lt;&gt;"",VLOOKUP(C6,'Dummy Table'!$B$3:$D$30,3,FALSE),"")</f>
        <v>Mercedes</v>
      </c>
      <c r="F6" s="50">
        <v>15</v>
      </c>
      <c r="J6" s="73">
        <f t="shared" si="0"/>
        <v>5</v>
      </c>
      <c r="K6" s="71" t="str">
        <f>IF('Equipes e Pilotos'!C7&lt;&gt;"",'Equipes e Pilotos'!C7,"")</f>
        <v>Max Verstappen</v>
      </c>
      <c r="M6" s="74" t="str">
        <f>C112</f>
        <v>Oscar Piastri</v>
      </c>
      <c r="N6" s="74" t="str">
        <f>E112</f>
        <v>McLaren 🏆</v>
      </c>
      <c r="O6" s="74">
        <v>1</v>
      </c>
      <c r="P6" s="74" t="str">
        <f>C136</f>
        <v>Oscar Piastri</v>
      </c>
      <c r="Q6" s="74" t="str">
        <f>E136</f>
        <v>McLaren 🏆</v>
      </c>
      <c r="R6" s="74">
        <v>1</v>
      </c>
      <c r="S6" s="74" t="str">
        <f>C137</f>
        <v>Oscar Piastri</v>
      </c>
      <c r="T6" s="74" t="str">
        <f>E137</f>
        <v>McLaren 🏆</v>
      </c>
      <c r="U6" s="68">
        <v>1</v>
      </c>
      <c r="V6" s="68"/>
      <c r="W6" s="68">
        <v>28</v>
      </c>
      <c r="X6" s="68"/>
    </row>
    <row r="7" spans="1:26" x14ac:dyDescent="0.2">
      <c r="B7" s="60">
        <f>$J$5</f>
        <v>4</v>
      </c>
      <c r="C7" s="48" t="s">
        <v>336</v>
      </c>
      <c r="D7" s="49" t="str">
        <f>IF(C7&lt;&gt;"",VLOOKUP(C7,'Dummy Table'!$B$3:$C$30,2,FALSE),"")</f>
        <v>Itália</v>
      </c>
      <c r="E7" s="49" t="str">
        <f>IF(C7&lt;&gt;"",VLOOKUP(C7,'Dummy Table'!$B$3:$D$30,3,FALSE),"")</f>
        <v>Mercedes</v>
      </c>
      <c r="F7" s="50">
        <v>12</v>
      </c>
      <c r="J7" s="73">
        <f t="shared" si="0"/>
        <v>6</v>
      </c>
      <c r="K7" s="71" t="str">
        <f>IF('Equipes e Pilotos'!C8&lt;&gt;"",'Equipes e Pilotos'!C8,"")</f>
        <v>Liam Lawson</v>
      </c>
      <c r="M7" s="74" t="str">
        <f>C140</f>
        <v>Oscar Piastri</v>
      </c>
      <c r="N7" s="74" t="str">
        <f>E140</f>
        <v>McLaren 🏆</v>
      </c>
      <c r="O7" s="74">
        <v>1</v>
      </c>
      <c r="P7" s="74" t="str">
        <f>C164</f>
        <v>Max Verstappen</v>
      </c>
      <c r="Q7" s="74" t="str">
        <f>E164</f>
        <v>Red Bull</v>
      </c>
      <c r="R7" s="74">
        <v>1</v>
      </c>
      <c r="S7" s="74" t="str">
        <f>C165</f>
        <v>Lando Norris</v>
      </c>
      <c r="T7" s="74" t="str">
        <f>E165</f>
        <v>McLaren 🏆</v>
      </c>
      <c r="U7" s="68">
        <v>1</v>
      </c>
      <c r="V7" s="68"/>
      <c r="W7" s="68"/>
      <c r="X7" s="68"/>
    </row>
    <row r="8" spans="1:26" x14ac:dyDescent="0.2">
      <c r="B8" s="60">
        <f>$J$6</f>
        <v>5</v>
      </c>
      <c r="C8" s="48" t="s">
        <v>315</v>
      </c>
      <c r="D8" s="49" t="str">
        <f>IF(C8&lt;&gt;"",VLOOKUP(C8,'Dummy Table'!$B$3:$C$30,2,FALSE),"")</f>
        <v>Tailandia</v>
      </c>
      <c r="E8" s="49" t="str">
        <f>IF(C8&lt;&gt;"",VLOOKUP(C8,'Dummy Table'!$B$3:$D$30,3,FALSE),"")</f>
        <v>Williams</v>
      </c>
      <c r="F8" s="50">
        <v>10</v>
      </c>
      <c r="J8" s="73">
        <f t="shared" si="0"/>
        <v>7</v>
      </c>
      <c r="K8" s="71" t="str">
        <f>IF('Equipes e Pilotos'!C9&lt;&gt;"",'Equipes e Pilotos'!C9,"")</f>
        <v>George Russell</v>
      </c>
      <c r="M8" s="74" t="str">
        <f>C192</f>
        <v>Oscar Piastri</v>
      </c>
      <c r="N8" s="74" t="str">
        <f>E192</f>
        <v>McLaren 🏆</v>
      </c>
      <c r="O8" s="74">
        <v>1</v>
      </c>
      <c r="P8" s="74" t="str">
        <f>C216</f>
        <v>Max Verstappen</v>
      </c>
      <c r="Q8" s="74" t="str">
        <f>E216</f>
        <v>Red Bull</v>
      </c>
      <c r="R8" s="74">
        <v>1</v>
      </c>
      <c r="S8" s="74" t="str">
        <f>C217</f>
        <v>Lando Norris</v>
      </c>
      <c r="T8" s="74" t="str">
        <f>E217</f>
        <v>McLaren 🏆</v>
      </c>
      <c r="U8" s="68">
        <v>1</v>
      </c>
      <c r="V8" s="68"/>
      <c r="W8" s="68"/>
      <c r="X8" s="68"/>
    </row>
    <row r="9" spans="1:26" x14ac:dyDescent="0.2">
      <c r="B9" s="60">
        <f>$J$7</f>
        <v>6</v>
      </c>
      <c r="C9" s="48" t="s">
        <v>311</v>
      </c>
      <c r="D9" s="49" t="str">
        <f>IF(C9&lt;&gt;"",VLOOKUP(C9,'Dummy Table'!$B$3:$C$30,2,FALSE),"")</f>
        <v>Canadá</v>
      </c>
      <c r="E9" s="49" t="str">
        <f>IF(C9&lt;&gt;"",VLOOKUP(C9,'Dummy Table'!$B$3:$D$30,3,FALSE),"")</f>
        <v>Aston Martin</v>
      </c>
      <c r="F9" s="50">
        <v>8</v>
      </c>
      <c r="J9" s="73">
        <f t="shared" si="0"/>
        <v>8</v>
      </c>
      <c r="K9" s="71" t="str">
        <f>IF('Equipes e Pilotos'!C10&lt;&gt;"",'Equipes e Pilotos'!C10,"")</f>
        <v>Kimi Antonelli</v>
      </c>
      <c r="M9" s="74" t="str">
        <f>C220</f>
        <v>Max Verstappen</v>
      </c>
      <c r="N9" s="74" t="str">
        <f>E220</f>
        <v>Red Bull</v>
      </c>
      <c r="O9" s="74">
        <v>1</v>
      </c>
      <c r="P9" s="74" t="str">
        <f>C244</f>
        <v>Oscar Piastri</v>
      </c>
      <c r="Q9" s="74" t="str">
        <f>D244</f>
        <v>Austrália</v>
      </c>
      <c r="R9" s="74">
        <v>1</v>
      </c>
      <c r="S9" s="74" t="str">
        <f>C245</f>
        <v>Max Verstappen</v>
      </c>
      <c r="T9" s="74" t="str">
        <f>E245</f>
        <v>Red Bull</v>
      </c>
      <c r="U9" s="68">
        <v>1</v>
      </c>
      <c r="V9" s="68"/>
      <c r="W9" s="68">
        <v>477</v>
      </c>
      <c r="X9" s="68"/>
    </row>
    <row r="10" spans="1:26" x14ac:dyDescent="0.2">
      <c r="B10" s="60">
        <f>$J$8</f>
        <v>7</v>
      </c>
      <c r="C10" s="48" t="s">
        <v>257</v>
      </c>
      <c r="D10" s="49" t="str">
        <f>IF(C10&lt;&gt;"",VLOOKUP(C10,'Dummy Table'!$B$3:$C$30,2,FALSE),"")</f>
        <v>Alemanha</v>
      </c>
      <c r="E10" s="49" t="str">
        <f>IF(C10&lt;&gt;"",VLOOKUP(C10,'Dummy Table'!$B$3:$D$30,3,FALSE),"")</f>
        <v>Kick Sauber</v>
      </c>
      <c r="F10" s="50">
        <v>6</v>
      </c>
      <c r="J10" s="73">
        <f t="shared" si="0"/>
        <v>9</v>
      </c>
      <c r="K10" s="71" t="str">
        <f>IF('Equipes e Pilotos'!C11&lt;&gt;"",'Equipes e Pilotos'!C11,"")</f>
        <v>Lance Stroll</v>
      </c>
      <c r="M10" s="74" t="str">
        <f>C248</f>
        <v>Lando Norris</v>
      </c>
      <c r="N10" s="74" t="str">
        <f>E248</f>
        <v>McLaren 🏆</v>
      </c>
      <c r="O10" s="74">
        <v>1</v>
      </c>
      <c r="P10" s="74" t="str">
        <f>C272</f>
        <v>Lando Norris</v>
      </c>
      <c r="Q10" s="74" t="str">
        <f>E272</f>
        <v>McLaren 🏆</v>
      </c>
      <c r="R10" s="74">
        <v>1</v>
      </c>
      <c r="S10" s="74" t="str">
        <f>C273</f>
        <v>Lando Norris</v>
      </c>
      <c r="T10" s="74" t="str">
        <f>E273</f>
        <v>McLaren 🏆</v>
      </c>
      <c r="U10" s="68">
        <v>1</v>
      </c>
      <c r="V10" s="68"/>
      <c r="W10" s="68">
        <f>W9+W$6</f>
        <v>505</v>
      </c>
      <c r="X10" s="68"/>
    </row>
    <row r="11" spans="1:26" x14ac:dyDescent="0.2">
      <c r="B11" s="60">
        <f>$J$9</f>
        <v>8</v>
      </c>
      <c r="C11" s="48" t="s">
        <v>313</v>
      </c>
      <c r="D11" s="49" t="str">
        <f>IF(C11&lt;&gt;"",VLOOKUP(C11,'Dummy Table'!$B$3:$C$30,2,FALSE),"")</f>
        <v>Mônaco</v>
      </c>
      <c r="E11" s="49" t="str">
        <f>IF(C11&lt;&gt;"",VLOOKUP(C11,'Dummy Table'!$B$3:$D$30,3,FALSE),"")</f>
        <v>Ferrari</v>
      </c>
      <c r="F11" s="50">
        <v>4</v>
      </c>
      <c r="J11" s="73">
        <f t="shared" si="0"/>
        <v>10</v>
      </c>
      <c r="K11" s="71" t="str">
        <f>IF('Equipes e Pilotos'!C12&lt;&gt;"",'Equipes e Pilotos'!C12,"")</f>
        <v>Fernando Alonso</v>
      </c>
      <c r="M11" s="74" t="str">
        <f>C276</f>
        <v>Oscar Piastri</v>
      </c>
      <c r="N11" s="74" t="str">
        <f>E276</f>
        <v>McLaren 🏆</v>
      </c>
      <c r="O11" s="74">
        <v>1</v>
      </c>
      <c r="P11" s="74" t="str">
        <f>C300</f>
        <v>Oscar Piastri</v>
      </c>
      <c r="Q11" s="74" t="str">
        <f>E300</f>
        <v>McLaren 🏆</v>
      </c>
      <c r="R11" s="74">
        <v>1</v>
      </c>
      <c r="S11" s="74" t="str">
        <f>C301</f>
        <v>Oscar Piastri</v>
      </c>
      <c r="T11" s="74" t="str">
        <f>E301</f>
        <v>McLaren 🏆</v>
      </c>
      <c r="U11" s="68">
        <v>1</v>
      </c>
      <c r="V11" s="68"/>
      <c r="W11" s="68">
        <f t="shared" ref="W11:W16" si="1">W10+W$6</f>
        <v>533</v>
      </c>
      <c r="X11" s="68"/>
    </row>
    <row r="12" spans="1:26" x14ac:dyDescent="0.2">
      <c r="B12" s="60">
        <f>$J$10</f>
        <v>9</v>
      </c>
      <c r="C12" s="48" t="s">
        <v>334</v>
      </c>
      <c r="D12" s="49" t="str">
        <f>IF(C12&lt;&gt;"",VLOOKUP(C12,'Dummy Table'!$B$3:$C$30,2,FALSE),"")</f>
        <v>Austrália</v>
      </c>
      <c r="E12" s="49" t="str">
        <f>IF(C12&lt;&gt;"",VLOOKUP(C12,'Dummy Table'!$B$3:$D$30,3,FALSE),"")</f>
        <v>McLaren 🏆</v>
      </c>
      <c r="F12" s="50">
        <v>2</v>
      </c>
      <c r="J12" s="73">
        <f t="shared" si="0"/>
        <v>11</v>
      </c>
      <c r="K12" s="71" t="str">
        <f>IF('Equipes e Pilotos'!C13&lt;&gt;"",'Equipes e Pilotos'!C13,"")</f>
        <v>Pierre Gasly</v>
      </c>
      <c r="M12" s="74" t="str">
        <f>C304</f>
        <v>George Russell</v>
      </c>
      <c r="N12" s="74" t="str">
        <f>E304</f>
        <v>Mercedes</v>
      </c>
      <c r="O12" s="74">
        <v>1</v>
      </c>
      <c r="P12" s="74" t="str">
        <f>C328</f>
        <v>George Russell</v>
      </c>
      <c r="Q12" s="74" t="str">
        <f>E328</f>
        <v>Mercedes</v>
      </c>
      <c r="R12" s="74">
        <v>1</v>
      </c>
      <c r="S12" s="74" t="str">
        <f>C329</f>
        <v>George Russell</v>
      </c>
      <c r="T12" s="74" t="str">
        <f>E329</f>
        <v>Mercedes</v>
      </c>
      <c r="U12" s="68">
        <v>1</v>
      </c>
      <c r="V12" s="68"/>
      <c r="W12" s="68">
        <f t="shared" si="1"/>
        <v>561</v>
      </c>
      <c r="X12" s="68"/>
    </row>
    <row r="13" spans="1:26" x14ac:dyDescent="0.2">
      <c r="B13" s="60">
        <f>$J$11</f>
        <v>10</v>
      </c>
      <c r="C13" s="48" t="s">
        <v>1</v>
      </c>
      <c r="D13" s="49" t="str">
        <f>IF(C13&lt;&gt;"",VLOOKUP(C13,'Dummy Table'!$B$3:$C$30,2,FALSE),"")</f>
        <v>Inglaterra</v>
      </c>
      <c r="E13" s="49" t="str">
        <f>IF(C13&lt;&gt;"",VLOOKUP(C13,'Dummy Table'!$B$3:$D$30,3,FALSE),"")</f>
        <v>Ferrari</v>
      </c>
      <c r="F13" s="50">
        <v>1</v>
      </c>
      <c r="J13" s="73">
        <f t="shared" si="0"/>
        <v>12</v>
      </c>
      <c r="K13" s="71" t="str">
        <f>IF('Equipes e Pilotos'!C14&lt;&gt;"",'Equipes e Pilotos'!C14,"")</f>
        <v>Jack Doohan</v>
      </c>
      <c r="M13" s="74" t="str">
        <f>C332</f>
        <v>Lando Norris</v>
      </c>
      <c r="N13" s="74" t="str">
        <f>E332</f>
        <v>McLaren 🏆</v>
      </c>
      <c r="O13" s="74">
        <v>1</v>
      </c>
      <c r="P13" s="74" t="str">
        <f>C356</f>
        <v>Lando Norris</v>
      </c>
      <c r="Q13" s="74" t="str">
        <f>E356</f>
        <v>McLaren 🏆</v>
      </c>
      <c r="R13" s="74">
        <v>1</v>
      </c>
      <c r="S13" s="74" t="str">
        <f>C357</f>
        <v>Oscar Piastri</v>
      </c>
      <c r="T13" s="74" t="str">
        <f>E357</f>
        <v>McLaren 🏆</v>
      </c>
      <c r="U13" s="68">
        <v>1</v>
      </c>
      <c r="V13" s="68"/>
      <c r="W13" s="68">
        <f t="shared" si="1"/>
        <v>589</v>
      </c>
      <c r="X13" s="68"/>
    </row>
    <row r="14" spans="1:26" x14ac:dyDescent="0.2">
      <c r="B14" s="60">
        <f>$J$12</f>
        <v>11</v>
      </c>
      <c r="C14" s="48" t="s">
        <v>312</v>
      </c>
      <c r="D14" s="49" t="str">
        <f>IF(C14&lt;&gt;"",VLOOKUP(C14,'Dummy Table'!$B$3:$C$30,2,FALSE),"")</f>
        <v>França</v>
      </c>
      <c r="E14" s="49" t="str">
        <f>IF(C14&lt;&gt;"",VLOOKUP(C14,'Dummy Table'!$B$3:$D$30,3,FALSE),"")</f>
        <v>Alpine</v>
      </c>
      <c r="F14" s="51"/>
      <c r="J14" s="73">
        <f t="shared" si="0"/>
        <v>13</v>
      </c>
      <c r="K14" s="71" t="str">
        <f>IF('Equipes e Pilotos'!C15&lt;&gt;"",'Equipes e Pilotos'!C15,"")</f>
        <v>Esteban Ocon</v>
      </c>
      <c r="M14" s="74" t="str">
        <f>C360</f>
        <v>Lando Norris</v>
      </c>
      <c r="N14" s="74" t="str">
        <f>E360</f>
        <v>McLaren 🏆</v>
      </c>
      <c r="O14" s="74">
        <v>1</v>
      </c>
      <c r="P14" s="74" t="str">
        <f>C384</f>
        <v>Max Verstappen</v>
      </c>
      <c r="Q14" s="74" t="str">
        <f>E384</f>
        <v>Red Bull</v>
      </c>
      <c r="R14" s="74">
        <v>1</v>
      </c>
      <c r="S14" s="74" t="str">
        <f>C385</f>
        <v>Oscar Piastri</v>
      </c>
      <c r="T14" s="74" t="str">
        <f>E385</f>
        <v>McLaren 🏆</v>
      </c>
      <c r="U14" s="68">
        <v>1</v>
      </c>
      <c r="V14" s="68"/>
      <c r="W14" s="68">
        <f t="shared" si="1"/>
        <v>617</v>
      </c>
      <c r="X14" s="68"/>
    </row>
    <row r="15" spans="1:26" x14ac:dyDescent="0.2">
      <c r="B15" s="60">
        <f>$J$13</f>
        <v>12</v>
      </c>
      <c r="C15" s="48" t="s">
        <v>339</v>
      </c>
      <c r="D15" s="49" t="str">
        <f>IF(C15&lt;&gt;"",VLOOKUP(C15,'Dummy Table'!$B$3:$C$30,2,FALSE),"")</f>
        <v>Japão</v>
      </c>
      <c r="E15" s="49" t="str">
        <f>IF(C15&lt;&gt;"",VLOOKUP(C15,'Dummy Table'!$B$3:$D$30,3,FALSE),"")</f>
        <v>Red Bull</v>
      </c>
      <c r="F15" s="51"/>
      <c r="J15" s="73">
        <f t="shared" si="0"/>
        <v>14</v>
      </c>
      <c r="K15" s="71" t="str">
        <f>IF('Equipes e Pilotos'!C16&lt;&gt;"",'Equipes e Pilotos'!C16,"")</f>
        <v>Oliver Bearman</v>
      </c>
      <c r="M15" s="74" t="str">
        <f>C412</f>
        <v>Oscar Piastri</v>
      </c>
      <c r="N15" s="74" t="str">
        <f>E412</f>
        <v>McLaren 🏆</v>
      </c>
      <c r="O15" s="74">
        <v>1</v>
      </c>
      <c r="P15" s="74" t="str">
        <f>C436</f>
        <v>Lando Norris</v>
      </c>
      <c r="Q15" s="74" t="str">
        <f>E436</f>
        <v>McLaren 🏆</v>
      </c>
      <c r="R15" s="74">
        <v>1</v>
      </c>
      <c r="S15" s="74" t="str">
        <f>C437</f>
        <v>Oscar Piastri</v>
      </c>
      <c r="T15" s="74" t="str">
        <f>E437</f>
        <v>McLaren 🏆</v>
      </c>
      <c r="U15" s="68">
        <v>1</v>
      </c>
      <c r="V15" s="68"/>
      <c r="W15" s="68">
        <f t="shared" si="1"/>
        <v>645</v>
      </c>
      <c r="X15" s="68"/>
    </row>
    <row r="16" spans="1:26" s="79" customFormat="1" x14ac:dyDescent="0.2">
      <c r="A16" s="62"/>
      <c r="B16" s="60">
        <f>$J$14</f>
        <v>13</v>
      </c>
      <c r="C16" s="48" t="s">
        <v>319</v>
      </c>
      <c r="D16" s="49" t="str">
        <f>IF(C16&lt;&gt;"",VLOOKUP(C16,'Dummy Table'!$B$3:$C$30,2,FALSE),"")</f>
        <v>França</v>
      </c>
      <c r="E16" s="49" t="str">
        <f>IF(C16&lt;&gt;"",VLOOKUP(C16,'Dummy Table'!$B$3:$D$30,3,FALSE),"")</f>
        <v>Haas</v>
      </c>
      <c r="F16" s="51"/>
      <c r="G16" s="72"/>
      <c r="H16" s="72"/>
      <c r="I16" s="72"/>
      <c r="J16" s="73">
        <f t="shared" si="0"/>
        <v>15</v>
      </c>
      <c r="K16" s="71" t="str">
        <f>IF('Equipes e Pilotos'!C17&lt;&gt;"",'Equipes e Pilotos'!C17,"")</f>
        <v>Yuki Tsunoda</v>
      </c>
      <c r="L16" s="78"/>
      <c r="M16" s="74" t="str">
        <f>C440</f>
        <v>Lando Norris</v>
      </c>
      <c r="N16" s="74" t="str">
        <f>E440</f>
        <v>McLaren 🏆</v>
      </c>
      <c r="O16" s="74">
        <v>1</v>
      </c>
      <c r="P16" s="74" t="str">
        <f>C464</f>
        <v>Charles Leclerc</v>
      </c>
      <c r="Q16" s="74" t="str">
        <f>E464</f>
        <v>Ferrari</v>
      </c>
      <c r="R16" s="74">
        <v>1</v>
      </c>
      <c r="S16" s="74" t="str">
        <f>C465</f>
        <v>George Russell</v>
      </c>
      <c r="T16" s="74" t="str">
        <f>E465</f>
        <v>Mercedes</v>
      </c>
      <c r="U16" s="68">
        <v>1</v>
      </c>
      <c r="V16" s="78"/>
      <c r="W16" s="68">
        <f t="shared" si="1"/>
        <v>673</v>
      </c>
      <c r="X16" s="78"/>
      <c r="Y16" s="78"/>
      <c r="Z16" s="78"/>
    </row>
    <row r="17" spans="1:24" x14ac:dyDescent="0.2">
      <c r="B17" s="60">
        <f>$J$15</f>
        <v>14</v>
      </c>
      <c r="C17" s="48" t="s">
        <v>338</v>
      </c>
      <c r="D17" s="49" t="str">
        <f>IF(C17&lt;&gt;"",VLOOKUP(C17,'Dummy Table'!$B$3:$C$30,2,FALSE),"")</f>
        <v>Inglaterra</v>
      </c>
      <c r="E17" s="49" t="str">
        <f>IF(C17&lt;&gt;"",VLOOKUP(C17,'Dummy Table'!$B$3:$D$30,3,FALSE),"")</f>
        <v>Haas</v>
      </c>
      <c r="F17" s="51"/>
      <c r="G17" s="72"/>
      <c r="H17" s="72"/>
      <c r="I17" s="72"/>
      <c r="J17" s="73">
        <f t="shared" si="0"/>
        <v>16</v>
      </c>
      <c r="K17" s="71" t="str">
        <f>IF('Equipes e Pilotos'!C18&lt;&gt;"",'Equipes e Pilotos'!C18,"")</f>
        <v>Isack Hadjar</v>
      </c>
      <c r="M17" s="74" t="str">
        <f>C468</f>
        <v>Oscar Piastri</v>
      </c>
      <c r="N17" s="74" t="str">
        <f>E468</f>
        <v>McLaren 🏆</v>
      </c>
      <c r="O17" s="74">
        <v>1</v>
      </c>
      <c r="P17" s="74" t="str">
        <f>C492</f>
        <v>Oscar Piastri</v>
      </c>
      <c r="Q17" s="74" t="str">
        <f>E492</f>
        <v>McLaren 🏆</v>
      </c>
      <c r="R17" s="74">
        <v>1</v>
      </c>
      <c r="S17" s="74" t="str">
        <f>C493</f>
        <v>Oscar Piastri</v>
      </c>
      <c r="T17" s="74" t="str">
        <f>E493</f>
        <v>McLaren 🏆</v>
      </c>
      <c r="U17" s="68">
        <v>1</v>
      </c>
      <c r="V17" s="68"/>
      <c r="W17" s="68"/>
      <c r="X17" s="68"/>
    </row>
    <row r="18" spans="1:24" x14ac:dyDescent="0.2">
      <c r="B18" s="60">
        <f>$J$16</f>
        <v>15</v>
      </c>
      <c r="C18" s="48" t="s">
        <v>335</v>
      </c>
      <c r="D18" s="49" t="str">
        <f>IF(C18&lt;&gt;"",VLOOKUP(C18,'Dummy Table'!$B$3:$C$30,2,FALSE),"")</f>
        <v>Austrália</v>
      </c>
      <c r="E18" s="49" t="str">
        <f>IF(C18&lt;&gt;"",VLOOKUP(C18,'Dummy Table'!$B$3:$D$30,3,FALSE),"")</f>
        <v>Racing Bulls</v>
      </c>
      <c r="F18" s="51" t="s">
        <v>320</v>
      </c>
      <c r="G18" s="72"/>
      <c r="H18" s="72"/>
      <c r="I18" s="72"/>
      <c r="J18" s="73">
        <f t="shared" si="0"/>
        <v>17</v>
      </c>
      <c r="K18" s="71" t="str">
        <f>IF('Equipes e Pilotos'!C19&lt;&gt;"",'Equipes e Pilotos'!C19,"")</f>
        <v>Alexander Albon</v>
      </c>
      <c r="M18" s="74" t="str">
        <f>C496</f>
        <v>Max Verstappen</v>
      </c>
      <c r="N18" s="74" t="str">
        <f>E496</f>
        <v>Red Bull</v>
      </c>
      <c r="O18" s="74">
        <v>1</v>
      </c>
      <c r="P18" s="74" t="str">
        <f>C520</f>
        <v>Max Verstappen</v>
      </c>
      <c r="Q18" s="74" t="str">
        <f>E520</f>
        <v>Red Bull</v>
      </c>
      <c r="R18" s="74">
        <v>1</v>
      </c>
      <c r="S18" s="74" t="str">
        <f>C521</f>
        <v>Lando Norris</v>
      </c>
      <c r="T18" s="74" t="str">
        <f>E521</f>
        <v>McLaren 🏆</v>
      </c>
      <c r="U18" s="68">
        <v>1</v>
      </c>
      <c r="V18" s="68"/>
      <c r="W18" s="68"/>
      <c r="X18" s="68"/>
    </row>
    <row r="19" spans="1:24" x14ac:dyDescent="0.2">
      <c r="B19" s="60">
        <f>$J$17</f>
        <v>16</v>
      </c>
      <c r="C19" s="48" t="s">
        <v>344</v>
      </c>
      <c r="D19" s="49" t="str">
        <f>IF(C19&lt;&gt;"",VLOOKUP(C19,'Dummy Table'!$B$3:$C$30,2,FALSE),"")</f>
        <v>Brasil</v>
      </c>
      <c r="E19" s="49" t="str">
        <f>IF(C19&lt;&gt;"",VLOOKUP(C19,'Dummy Table'!$B$3:$D$30,3,FALSE),"")</f>
        <v>Kick Sauber</v>
      </c>
      <c r="F19" s="51" t="s">
        <v>320</v>
      </c>
      <c r="G19" s="72"/>
      <c r="H19" s="72"/>
      <c r="I19" s="72"/>
      <c r="J19" s="73">
        <f t="shared" si="0"/>
        <v>18</v>
      </c>
      <c r="K19" s="71" t="str">
        <f>IF('Equipes e Pilotos'!C20&lt;&gt;"",'Equipes e Pilotos'!C20,"")</f>
        <v>Carlos Sainz</v>
      </c>
      <c r="M19" s="74" t="str">
        <f>C524</f>
        <v>Max Verstappen</v>
      </c>
      <c r="N19" s="74" t="str">
        <f>E524</f>
        <v>Red Bull</v>
      </c>
      <c r="O19" s="74">
        <v>1</v>
      </c>
      <c r="P19" s="74" t="str">
        <f>C548</f>
        <v>Max Verstappen</v>
      </c>
      <c r="Q19" s="74" t="str">
        <f>E548</f>
        <v>Red Bull</v>
      </c>
      <c r="R19" s="74">
        <v>1</v>
      </c>
      <c r="S19" s="74" t="str">
        <f>C549</f>
        <v>Max Verstappen</v>
      </c>
      <c r="T19" s="74" t="str">
        <f>E549</f>
        <v>Red Bull</v>
      </c>
      <c r="U19" s="68">
        <v>1</v>
      </c>
      <c r="V19" s="68"/>
      <c r="W19" s="68"/>
      <c r="X19" s="68"/>
    </row>
    <row r="20" spans="1:24" x14ac:dyDescent="0.2">
      <c r="B20" s="60">
        <f>$J$18</f>
        <v>17</v>
      </c>
      <c r="C20" s="48" t="s">
        <v>30</v>
      </c>
      <c r="D20" s="49" t="str">
        <f>IF(C20&lt;&gt;"",VLOOKUP(C20,'Dummy Table'!$B$3:$C$30,2,FALSE),"")</f>
        <v>Espanha</v>
      </c>
      <c r="E20" s="49" t="str">
        <f>IF(C20&lt;&gt;"",VLOOKUP(C20,'Dummy Table'!$B$3:$D$30,3,FALSE),"")</f>
        <v>Aston Martin</v>
      </c>
      <c r="F20" s="51" t="s">
        <v>320</v>
      </c>
      <c r="G20" s="72"/>
      <c r="H20" s="72"/>
      <c r="I20" s="72"/>
      <c r="J20" s="73">
        <f t="shared" si="0"/>
        <v>19</v>
      </c>
      <c r="K20" s="71" t="str">
        <f>IF('Equipes e Pilotos'!C21&lt;&gt;"",'Equipes e Pilotos'!C21,"")</f>
        <v>Nico Hulkenberg</v>
      </c>
      <c r="M20" s="74" t="str">
        <f>C552</f>
        <v>George Russell</v>
      </c>
      <c r="N20" s="74" t="str">
        <f>E552</f>
        <v>Mercedes</v>
      </c>
      <c r="O20" s="74">
        <v>1</v>
      </c>
      <c r="P20" s="74" t="str">
        <f>C576</f>
        <v>George Russell</v>
      </c>
      <c r="Q20" s="74" t="str">
        <f>E576</f>
        <v>Mercedes</v>
      </c>
      <c r="R20" s="74">
        <v>1</v>
      </c>
      <c r="S20" s="74" t="str">
        <f>C577</f>
        <v>Lewis Hamilton</v>
      </c>
      <c r="T20" s="74" t="str">
        <f>E577</f>
        <v>Ferrari</v>
      </c>
      <c r="U20" s="68">
        <v>1</v>
      </c>
      <c r="V20" s="68"/>
      <c r="W20" s="68"/>
      <c r="X20" s="68"/>
    </row>
    <row r="21" spans="1:24" x14ac:dyDescent="0.2">
      <c r="B21" s="60">
        <f>$J$19</f>
        <v>18</v>
      </c>
      <c r="C21" s="48" t="s">
        <v>343</v>
      </c>
      <c r="D21" s="49" t="str">
        <f>IF(C21&lt;&gt;"",VLOOKUP(C21,'Dummy Table'!$B$3:$C$30,2,FALSE),"")</f>
        <v>Espanha</v>
      </c>
      <c r="E21" s="49" t="str">
        <f>IF(C21&lt;&gt;"",VLOOKUP(C21,'Dummy Table'!$B$3:$D$30,3,FALSE),"")</f>
        <v>Williams</v>
      </c>
      <c r="F21" s="51" t="s">
        <v>320</v>
      </c>
      <c r="G21" s="72"/>
      <c r="H21" s="72"/>
      <c r="I21" s="72"/>
      <c r="J21" s="73">
        <f t="shared" si="0"/>
        <v>20</v>
      </c>
      <c r="K21" s="71" t="str">
        <f>IF('Equipes e Pilotos'!C22&lt;&gt;"",'Equipes e Pilotos'!C22,"")</f>
        <v>Gabriel Bortoleto</v>
      </c>
      <c r="M21" s="74" t="str">
        <f>C604</f>
        <v>Max Verstappen</v>
      </c>
      <c r="N21" s="74" t="str">
        <f>E604</f>
        <v>Red Bull</v>
      </c>
      <c r="O21" s="74">
        <v>1</v>
      </c>
      <c r="P21" s="74" t="str">
        <f>C628</f>
        <v>Max Verstappen</v>
      </c>
      <c r="Q21" s="74" t="str">
        <f>E628</f>
        <v>Red Bull</v>
      </c>
      <c r="R21" s="74">
        <v>1</v>
      </c>
      <c r="S21" s="74" t="str">
        <f>C629</f>
        <v>Kimi Antonelli</v>
      </c>
      <c r="T21" s="74" t="str">
        <f>E629</f>
        <v>Mercedes</v>
      </c>
      <c r="U21" s="68">
        <v>1</v>
      </c>
      <c r="V21" s="68"/>
      <c r="W21" s="68"/>
      <c r="X21" s="68"/>
    </row>
    <row r="22" spans="1:24" x14ac:dyDescent="0.2">
      <c r="B22" s="60">
        <f>$J$20</f>
        <v>19</v>
      </c>
      <c r="C22" s="48" t="s">
        <v>337</v>
      </c>
      <c r="D22" s="49" t="str">
        <f>IF(C22&lt;&gt;"",VLOOKUP(C22,'Dummy Table'!$B$3:$C$30,2,FALSE),"")</f>
        <v>Austrália</v>
      </c>
      <c r="E22" s="49" t="str">
        <f>IF(C22&lt;&gt;"",VLOOKUP(C22,'Dummy Table'!$B$3:$D$30,3,FALSE),"")</f>
        <v>Alpine</v>
      </c>
      <c r="F22" s="51" t="s">
        <v>320</v>
      </c>
      <c r="G22" s="72"/>
      <c r="H22" s="72"/>
      <c r="I22" s="72"/>
      <c r="J22" s="73">
        <f t="shared" si="0"/>
        <v>21</v>
      </c>
      <c r="K22" s="71" t="str">
        <f>IF('Equipes e Pilotos'!C23&lt;&gt;"",'Equipes e Pilotos'!C23,"")</f>
        <v>Franco Colapinto</v>
      </c>
      <c r="M22" s="74" t="str">
        <f>C632</f>
        <v>Lando Norris</v>
      </c>
      <c r="N22" s="74" t="str">
        <f>E632</f>
        <v>McLaren 🏆</v>
      </c>
      <c r="O22" s="74">
        <v>1</v>
      </c>
      <c r="P22" s="74" t="str">
        <f>C656</f>
        <v>Lando Norris</v>
      </c>
      <c r="Q22" s="74" t="str">
        <f>E656</f>
        <v>McLaren 🏆</v>
      </c>
      <c r="R22" s="74">
        <v>1</v>
      </c>
      <c r="S22" s="74" t="str">
        <f>C657</f>
        <v>George Russell</v>
      </c>
      <c r="T22" s="74" t="str">
        <f>E657</f>
        <v>Mercedes</v>
      </c>
      <c r="U22" s="68">
        <v>1</v>
      </c>
      <c r="V22" s="68"/>
      <c r="W22" s="68"/>
      <c r="X22" s="68"/>
    </row>
    <row r="23" spans="1:24" x14ac:dyDescent="0.2">
      <c r="B23" s="60">
        <f>$J$21</f>
        <v>20</v>
      </c>
      <c r="C23" s="48" t="s">
        <v>341</v>
      </c>
      <c r="D23" s="49" t="str">
        <f>IF(C23&lt;&gt;"",VLOOKUP(C23,'Dummy Table'!$B$3:$C$30,2,FALSE),"")</f>
        <v>França</v>
      </c>
      <c r="E23" s="49" t="str">
        <f>IF(C23&lt;&gt;"",VLOOKUP(C23,'Dummy Table'!$B$3:$D$30,3,FALSE),"")</f>
        <v>Racing Bulls</v>
      </c>
      <c r="F23" s="51" t="s">
        <v>320</v>
      </c>
      <c r="G23" s="72"/>
      <c r="H23" s="72"/>
      <c r="I23" s="72"/>
      <c r="J23" s="73" t="str">
        <f t="shared" si="0"/>
        <v/>
      </c>
      <c r="K23" s="71" t="str">
        <f>IF('Equipes e Pilotos'!C24&lt;&gt;"",'Equipes e Pilotos'!C24,"")</f>
        <v/>
      </c>
      <c r="M23" s="74" t="str">
        <f>C684</f>
        <v>Lando Norris</v>
      </c>
      <c r="N23" s="74" t="str">
        <f>E684</f>
        <v>McLaren 🏆</v>
      </c>
      <c r="O23" s="74">
        <v>1</v>
      </c>
      <c r="P23" s="74" t="str">
        <f>C708</f>
        <v>Lando Norris</v>
      </c>
      <c r="Q23" s="74" t="str">
        <f>E708</f>
        <v>McLaren 🏆</v>
      </c>
      <c r="R23" s="74">
        <v>1</v>
      </c>
      <c r="S23" s="74" t="str">
        <f>C709</f>
        <v>Alexander Albon</v>
      </c>
      <c r="T23" s="74" t="str">
        <f>E709</f>
        <v>Williams</v>
      </c>
      <c r="U23" s="68">
        <v>1</v>
      </c>
      <c r="V23" s="68"/>
      <c r="W23" s="68"/>
      <c r="X23" s="68"/>
    </row>
    <row r="24" spans="1:24" hidden="1" x14ac:dyDescent="0.2">
      <c r="B24" s="76">
        <f>$J$22</f>
        <v>21</v>
      </c>
      <c r="C24" s="75"/>
      <c r="D24" s="65" t="str">
        <f>IF(C24&lt;&gt;"",VLOOKUP(C24,'Dummy Table'!$B$3:$C$30,2,FALSE),"")</f>
        <v/>
      </c>
      <c r="E24" s="65" t="str">
        <f>IF(C24&lt;&gt;"",VLOOKUP(C24,'Dummy Table'!$B$3:$D$30,3,FALSE),"")</f>
        <v/>
      </c>
      <c r="F24" s="77"/>
      <c r="G24" s="72"/>
      <c r="H24" s="72"/>
      <c r="I24" s="72"/>
      <c r="J24" s="73" t="str">
        <f t="shared" si="0"/>
        <v/>
      </c>
      <c r="K24" s="71" t="str">
        <f>IF('Equipes e Pilotos'!C25&lt;&gt;"",'Equipes e Pilotos'!C25,"")</f>
        <v/>
      </c>
      <c r="M24" s="74" t="str">
        <f>C712</f>
        <v>Max Verstappen</v>
      </c>
      <c r="N24" s="74" t="str">
        <f>E712</f>
        <v>Red Bull</v>
      </c>
      <c r="O24" s="74">
        <v>1</v>
      </c>
      <c r="P24" s="74" t="str">
        <f>C736</f>
        <v>Lando Norris</v>
      </c>
      <c r="Q24" s="74" t="str">
        <f>E736</f>
        <v>McLaren 🏆</v>
      </c>
      <c r="R24" s="74">
        <v>1</v>
      </c>
      <c r="S24" s="74" t="str">
        <f>C737</f>
        <v>Max Verstappen</v>
      </c>
      <c r="T24" s="74" t="str">
        <f>E737</f>
        <v>Red Bull</v>
      </c>
      <c r="U24" s="68">
        <v>1</v>
      </c>
      <c r="V24" s="68"/>
      <c r="W24" s="68"/>
      <c r="X24" s="68"/>
    </row>
    <row r="25" spans="1:24" hidden="1" x14ac:dyDescent="0.2">
      <c r="B25" s="76" t="str">
        <f>$J$23</f>
        <v/>
      </c>
      <c r="C25" s="75"/>
      <c r="D25" s="65" t="str">
        <f>IF(C25&lt;&gt;"",VLOOKUP(C25,'Dummy Table'!$B$3:$C$30,2,FALSE),"")</f>
        <v/>
      </c>
      <c r="E25" s="65" t="str">
        <f>IF(C25&lt;&gt;"",VLOOKUP(C25,'Dummy Table'!$B$3:$D$30,3,FALSE),"")</f>
        <v/>
      </c>
      <c r="F25" s="80"/>
      <c r="G25" s="72"/>
      <c r="H25" s="72"/>
      <c r="I25" s="72"/>
      <c r="J25" s="73" t="str">
        <f t="shared" si="0"/>
        <v/>
      </c>
      <c r="K25" s="71" t="str">
        <f>IF('Equipes e Pilotos'!C26&lt;&gt;"",'Equipes e Pilotos'!C26,"")</f>
        <v/>
      </c>
      <c r="M25" s="74" t="str">
        <f>C764</f>
        <v>Max Verstappen</v>
      </c>
      <c r="N25" s="74" t="str">
        <f>E764</f>
        <v>Red Bull</v>
      </c>
      <c r="O25" s="74">
        <v>1</v>
      </c>
      <c r="P25" s="74" t="str">
        <f>C788</f>
        <v>Oscar Piastri</v>
      </c>
      <c r="Q25" s="74" t="str">
        <f>E788</f>
        <v>McLaren 🏆</v>
      </c>
      <c r="R25" s="74">
        <v>1</v>
      </c>
      <c r="S25" s="74" t="str">
        <f>C789</f>
        <v>Oscar Piastri</v>
      </c>
      <c r="T25" s="74" t="str">
        <f>E789</f>
        <v>McLaren 🏆</v>
      </c>
      <c r="U25" s="68">
        <v>1</v>
      </c>
      <c r="V25" s="68"/>
      <c r="W25" s="68"/>
      <c r="X25" s="68"/>
    </row>
    <row r="26" spans="1:24" hidden="1" x14ac:dyDescent="0.2">
      <c r="B26" s="76" t="str">
        <f>IF(F26="",$J$24,"Ret")</f>
        <v/>
      </c>
      <c r="C26" s="75"/>
      <c r="D26" s="65" t="str">
        <f>IF(C26&lt;&gt;"",VLOOKUP(C26,'Dummy Table'!$B$3:$C$30,2,FALSE),"")</f>
        <v/>
      </c>
      <c r="E26" s="65" t="str">
        <f>IF(C26&lt;&gt;"",VLOOKUP(C26,'Dummy Table'!$B$3:$D$30,3,FALSE),"")</f>
        <v/>
      </c>
      <c r="F26" s="81"/>
      <c r="G26" s="72"/>
      <c r="H26" s="72"/>
      <c r="I26" s="72"/>
      <c r="J26" s="73" t="str">
        <f t="shared" si="0"/>
        <v/>
      </c>
      <c r="K26" s="71" t="str">
        <f>IF('Equipes e Pilotos'!C27&lt;&gt;"",'Equipes e Pilotos'!C27,"")</f>
        <v/>
      </c>
      <c r="M26" s="74">
        <f>C792</f>
        <v>0</v>
      </c>
      <c r="N26" s="74" t="str">
        <f>E792</f>
        <v/>
      </c>
      <c r="O26" s="74">
        <v>1</v>
      </c>
      <c r="P26" s="74">
        <f>C816</f>
        <v>0</v>
      </c>
      <c r="Q26" s="74" t="str">
        <f>E816</f>
        <v/>
      </c>
      <c r="R26" s="74">
        <v>1</v>
      </c>
      <c r="S26" s="74">
        <f>C817</f>
        <v>0</v>
      </c>
      <c r="T26" s="74" t="str">
        <f>E817</f>
        <v/>
      </c>
      <c r="U26" s="68">
        <v>1</v>
      </c>
      <c r="V26" s="68"/>
      <c r="W26" s="68"/>
      <c r="X26" s="68"/>
    </row>
    <row r="27" spans="1:24" hidden="1" x14ac:dyDescent="0.2">
      <c r="B27" s="76" t="str">
        <f>IF(F27="",$J$25,"Ret")</f>
        <v/>
      </c>
      <c r="C27" s="75"/>
      <c r="D27" s="65" t="str">
        <f>IF(C27&lt;&gt;"",VLOOKUP(C27,'Dummy Table'!$B$3:$C$30,2,FALSE),"")</f>
        <v/>
      </c>
      <c r="E27" s="65" t="str">
        <f>IF(C27&lt;&gt;"",VLOOKUP(C27,'Dummy Table'!$B$3:$D$30,3,FALSE),"")</f>
        <v/>
      </c>
      <c r="F27" s="81"/>
      <c r="G27" s="72"/>
      <c r="H27" s="72"/>
      <c r="I27" s="72"/>
      <c r="J27" s="73" t="str">
        <f t="shared" si="0"/>
        <v/>
      </c>
      <c r="K27" s="71" t="str">
        <f>IF('Equipes e Pilotos'!C28&lt;&gt;"",'Equipes e Pilotos'!C28,"")</f>
        <v/>
      </c>
      <c r="O27" s="74"/>
      <c r="P27" s="74"/>
      <c r="Q27" s="74"/>
      <c r="R27" s="74"/>
      <c r="S27" s="74"/>
      <c r="T27" s="74"/>
      <c r="V27" s="68"/>
      <c r="W27" s="68"/>
      <c r="X27" s="68"/>
    </row>
    <row r="28" spans="1:24" x14ac:dyDescent="0.2">
      <c r="B28" s="52" t="s">
        <v>248</v>
      </c>
      <c r="C28" s="53" t="s">
        <v>316</v>
      </c>
      <c r="D28" s="54" t="str">
        <f>IF(C28&lt;&gt;"",VLOOKUP(C28,'Dummy Table'!$B$3:$C$30,2,FALSE),"")</f>
        <v>Inglaterra</v>
      </c>
      <c r="E28" s="54" t="str">
        <f>IF(C28&lt;&gt;"",VLOOKUP(C28,'Dummy Table'!$B$3:$D$30,3,FALSE),"")</f>
        <v>McLaren 🏆</v>
      </c>
      <c r="F28" s="55"/>
      <c r="G28" s="72"/>
      <c r="H28" s="72"/>
      <c r="I28" s="72"/>
      <c r="J28" s="73" t="str">
        <f>IF(K28="","",J27+1)</f>
        <v/>
      </c>
      <c r="K28" s="71" t="str">
        <f>IF('Equipes e Pilotos'!C29&lt;&gt;"",'Equipes e Pilotos'!C29,"")</f>
        <v/>
      </c>
      <c r="M28" s="74"/>
      <c r="N28" s="74" t="str">
        <f>E712</f>
        <v>Red Bull</v>
      </c>
      <c r="O28" s="74"/>
      <c r="P28" s="74"/>
      <c r="Q28" s="74" t="str">
        <f>E736</f>
        <v>McLaren 🏆</v>
      </c>
      <c r="R28" s="74"/>
      <c r="S28" s="74"/>
      <c r="T28" s="74" t="str">
        <f>E737</f>
        <v>Red Bull</v>
      </c>
      <c r="V28" s="68"/>
      <c r="W28" s="68"/>
      <c r="X28" s="68"/>
    </row>
    <row r="29" spans="1:24" x14ac:dyDescent="0.2">
      <c r="B29" s="56" t="s">
        <v>238</v>
      </c>
      <c r="C29" s="57" t="s">
        <v>316</v>
      </c>
      <c r="D29" s="54" t="str">
        <f>IF(C29&lt;&gt;"",VLOOKUP(C29,'Dummy Table'!$B$3:$C$30,2,FALSE),"")</f>
        <v>Inglaterra</v>
      </c>
      <c r="E29" s="54" t="str">
        <f>IF(C29&lt;&gt;"",VLOOKUP(C29,'Dummy Table'!$B$3:$D$30,3,FALSE),"")</f>
        <v>McLaren 🏆</v>
      </c>
      <c r="F29" s="58"/>
      <c r="G29" s="72"/>
      <c r="H29" s="66">
        <f>IF(C29="",F29,0)</f>
        <v>0</v>
      </c>
      <c r="I29" s="72"/>
      <c r="J29" s="73" t="str">
        <f>IF(K29="","",J28+1)</f>
        <v/>
      </c>
      <c r="K29" s="71" t="str">
        <f>IF('Equipes e Pilotos'!C30&lt;&gt;"",'Equipes e Pilotos'!C30,"")</f>
        <v/>
      </c>
      <c r="M29" s="74"/>
      <c r="N29" s="74" t="str">
        <f>E764</f>
        <v>Red Bull</v>
      </c>
      <c r="O29" s="74"/>
      <c r="P29" s="74"/>
      <c r="Q29" s="74" t="str">
        <f>E788</f>
        <v>McLaren 🏆</v>
      </c>
      <c r="R29" s="74"/>
      <c r="S29" s="74"/>
      <c r="T29" s="74" t="str">
        <f>E789</f>
        <v>McLaren 🏆</v>
      </c>
      <c r="V29" s="68"/>
      <c r="W29" s="68"/>
      <c r="X29" s="68"/>
    </row>
    <row r="30" spans="1:24" x14ac:dyDescent="0.2">
      <c r="A30" s="62">
        <v>2</v>
      </c>
      <c r="B30" s="88">
        <f>VLOOKUP($A30,'Calendário atual'!$A$2:$E$30,2,FALSE)</f>
        <v>45739</v>
      </c>
      <c r="C30" s="162" t="str">
        <f>VLOOKUP($A30,'Calendário atual'!$A$2:$E$30,4,FALSE)</f>
        <v>FORMULA 1 HEINEKEN CHINESE GRAND PRIX 2025</v>
      </c>
      <c r="D30" s="162"/>
      <c r="E30" s="162"/>
      <c r="F30" s="88" t="str">
        <f>VLOOKUP($A30,'Calendário atual'!$A$2:$E$30,3,FALSE)</f>
        <v>China</v>
      </c>
      <c r="G30" s="72"/>
      <c r="H30" s="72"/>
      <c r="I30" s="72"/>
      <c r="K30" s="82">
        <f>SUM(H:H)</f>
        <v>43</v>
      </c>
      <c r="M30" s="74"/>
      <c r="N30" s="74" t="str">
        <f>E792</f>
        <v/>
      </c>
      <c r="O30" s="74"/>
      <c r="P30" s="74"/>
      <c r="Q30" s="74" t="str">
        <f>E816</f>
        <v/>
      </c>
      <c r="R30" s="74"/>
      <c r="S30" s="74"/>
      <c r="T30" s="74" t="str">
        <f>E817</f>
        <v/>
      </c>
      <c r="V30" s="68"/>
      <c r="W30" s="68"/>
      <c r="X30" s="68"/>
    </row>
    <row r="31" spans="1:24" x14ac:dyDescent="0.2">
      <c r="B31" s="134"/>
      <c r="C31" s="136" t="s">
        <v>396</v>
      </c>
      <c r="D31" s="135"/>
      <c r="E31" s="135"/>
      <c r="F31" s="135"/>
      <c r="G31" s="72"/>
      <c r="H31" s="72"/>
      <c r="I31" s="72"/>
      <c r="K31" s="82"/>
      <c r="M31" s="74"/>
      <c r="N31" s="74"/>
      <c r="O31" s="74"/>
      <c r="P31" s="74"/>
      <c r="Q31" s="74"/>
      <c r="R31" s="74"/>
      <c r="S31" s="74"/>
      <c r="T31" s="74"/>
      <c r="V31" s="68"/>
      <c r="W31" s="68"/>
      <c r="X31" s="68"/>
    </row>
    <row r="32" spans="1:24" x14ac:dyDescent="0.2">
      <c r="B32" s="61" t="s">
        <v>14</v>
      </c>
      <c r="C32" s="61" t="s">
        <v>29</v>
      </c>
      <c r="D32" s="61" t="s">
        <v>16</v>
      </c>
      <c r="E32" s="61" t="s">
        <v>17</v>
      </c>
      <c r="F32" s="61" t="s">
        <v>18</v>
      </c>
      <c r="M32" s="83"/>
      <c r="N32" s="83"/>
      <c r="O32" s="83"/>
      <c r="P32" s="78"/>
      <c r="Q32" s="78"/>
      <c r="R32" s="78"/>
      <c r="V32" s="68"/>
      <c r="W32" s="68"/>
      <c r="X32" s="68"/>
    </row>
    <row r="33" spans="1:26" x14ac:dyDescent="0.2">
      <c r="B33" s="59">
        <f>$J$2</f>
        <v>1</v>
      </c>
      <c r="C33" s="48" t="s">
        <v>1</v>
      </c>
      <c r="D33" s="49" t="str">
        <f>IF(C33&lt;&gt;"",VLOOKUP(C33,'Dummy Table'!$B$3:$C$30,2,FALSE),"")</f>
        <v>Inglaterra</v>
      </c>
      <c r="E33" s="49" t="str">
        <f>IF(C33&lt;&gt;"",VLOOKUP(C33,'Dummy Table'!$B$3:$D$30,3,FALSE),"")</f>
        <v>Ferrari</v>
      </c>
      <c r="F33" s="50">
        <v>8</v>
      </c>
      <c r="G33" s="66">
        <f>IF(C33="",F33,0)</f>
        <v>0</v>
      </c>
      <c r="H33" s="66">
        <f>IF(C33="",F33,0)</f>
        <v>0</v>
      </c>
      <c r="K33" s="71"/>
      <c r="M33" s="130"/>
      <c r="N33" s="130"/>
      <c r="O33" s="130"/>
      <c r="V33" s="68"/>
      <c r="W33" s="68"/>
      <c r="X33" s="68"/>
    </row>
    <row r="34" spans="1:26" x14ac:dyDescent="0.2">
      <c r="B34" s="60">
        <f>$J$3</f>
        <v>2</v>
      </c>
      <c r="C34" s="48" t="s">
        <v>334</v>
      </c>
      <c r="D34" s="49" t="str">
        <f>IF(C34&lt;&gt;"",VLOOKUP(C34,'Dummy Table'!$B$3:$C$30,2,FALSE),"")</f>
        <v>Austrália</v>
      </c>
      <c r="E34" s="49" t="str">
        <f>IF(C34&lt;&gt;"",VLOOKUP(C34,'Dummy Table'!$B$3:$D$30,3,FALSE),"")</f>
        <v>McLaren 🏆</v>
      </c>
      <c r="F34" s="50">
        <v>7</v>
      </c>
      <c r="H34" s="66">
        <f>IF(C34="",F34,0)</f>
        <v>0</v>
      </c>
      <c r="K34" s="74" t="s">
        <v>297</v>
      </c>
      <c r="L34" s="74" t="s">
        <v>297</v>
      </c>
      <c r="M34" s="130"/>
      <c r="N34" s="130"/>
      <c r="O34" s="130"/>
    </row>
    <row r="35" spans="1:26" x14ac:dyDescent="0.2">
      <c r="B35" s="60">
        <f>$J$4</f>
        <v>3</v>
      </c>
      <c r="C35" s="48" t="s">
        <v>305</v>
      </c>
      <c r="D35" s="49" t="str">
        <f>IF(C35&lt;&gt;"",VLOOKUP(C35,'Dummy Table'!$B$3:$C$30,2,FALSE),"")</f>
        <v>Holanda</v>
      </c>
      <c r="E35" s="49" t="str">
        <f>IF(C35&lt;&gt;"",VLOOKUP(C35,'Dummy Table'!$B$3:$D$30,3,FALSE),"")</f>
        <v>Red Bull</v>
      </c>
      <c r="F35" s="50">
        <v>6</v>
      </c>
      <c r="K35" s="74">
        <f>SUM(G:G)</f>
        <v>25</v>
      </c>
      <c r="L35" s="74">
        <f>SUM(H:H)</f>
        <v>43</v>
      </c>
      <c r="M35" s="130"/>
      <c r="N35" s="130"/>
      <c r="O35" s="130"/>
    </row>
    <row r="36" spans="1:26" x14ac:dyDescent="0.2">
      <c r="B36" s="60">
        <f>$J$5</f>
        <v>4</v>
      </c>
      <c r="C36" s="48" t="s">
        <v>394</v>
      </c>
      <c r="D36" s="49" t="str">
        <f>IF(C36&lt;&gt;"",VLOOKUP(C36,'Dummy Table'!$B$3:$C$30,2,FALSE),"")</f>
        <v>Inglaterra</v>
      </c>
      <c r="E36" s="49" t="str">
        <f>IF(C36&lt;&gt;"",VLOOKUP(C36,'Dummy Table'!$B$3:$D$30,3,FALSE),"")</f>
        <v>Mercedes</v>
      </c>
      <c r="F36" s="50">
        <v>5</v>
      </c>
      <c r="K36" s="74" t="s">
        <v>298</v>
      </c>
      <c r="L36" s="74" t="s">
        <v>298</v>
      </c>
      <c r="M36" s="130"/>
      <c r="N36" s="130"/>
      <c r="O36" s="130"/>
    </row>
    <row r="37" spans="1:26" x14ac:dyDescent="0.2">
      <c r="B37" s="60">
        <f>$J$6</f>
        <v>5</v>
      </c>
      <c r="C37" s="48" t="s">
        <v>313</v>
      </c>
      <c r="D37" s="49" t="str">
        <f>IF(C37&lt;&gt;"",VLOOKUP(C37,'Dummy Table'!$B$3:$C$30,2,FALSE),"")</f>
        <v>Mônaco</v>
      </c>
      <c r="E37" s="49" t="str">
        <f>IF(C37&lt;&gt;"",VLOOKUP(C37,'Dummy Table'!$B$3:$D$30,3,FALSE),"")</f>
        <v>Ferrari</v>
      </c>
      <c r="F37" s="50">
        <v>4</v>
      </c>
      <c r="M37" s="130"/>
      <c r="N37" s="130"/>
      <c r="O37" s="130"/>
    </row>
    <row r="38" spans="1:26" x14ac:dyDescent="0.2">
      <c r="B38" s="60">
        <f>$J$7</f>
        <v>6</v>
      </c>
      <c r="C38" s="48" t="s">
        <v>339</v>
      </c>
      <c r="D38" s="49" t="str">
        <f>IF(C38&lt;&gt;"",VLOOKUP(C38,'Dummy Table'!$B$3:$C$30,2,FALSE),"")</f>
        <v>Japão</v>
      </c>
      <c r="E38" s="49" t="str">
        <f>IF(C38&lt;&gt;"",VLOOKUP(C38,'Dummy Table'!$B$3:$D$30,3,FALSE),"")</f>
        <v>Red Bull</v>
      </c>
      <c r="F38" s="50">
        <v>3</v>
      </c>
      <c r="K38" s="71"/>
      <c r="M38" s="130"/>
      <c r="N38" s="130"/>
      <c r="O38" s="130"/>
    </row>
    <row r="39" spans="1:26" x14ac:dyDescent="0.2">
      <c r="B39" s="60">
        <f>$J$8</f>
        <v>7</v>
      </c>
      <c r="C39" s="48" t="s">
        <v>336</v>
      </c>
      <c r="D39" s="49" t="str">
        <f>IF(C39&lt;&gt;"",VLOOKUP(C39,'Dummy Table'!$B$3:$C$30,2,FALSE),"")</f>
        <v>Itália</v>
      </c>
      <c r="E39" s="49" t="str">
        <f>IF(C39&lt;&gt;"",VLOOKUP(C39,'Dummy Table'!$B$3:$D$30,3,FALSE),"")</f>
        <v>Mercedes</v>
      </c>
      <c r="F39" s="50">
        <v>2</v>
      </c>
      <c r="K39" s="71"/>
      <c r="M39" s="130"/>
      <c r="N39" s="130"/>
      <c r="O39" s="130"/>
    </row>
    <row r="40" spans="1:26" x14ac:dyDescent="0.2">
      <c r="B40" s="60">
        <f>$J$9</f>
        <v>8</v>
      </c>
      <c r="C40" s="48" t="s">
        <v>316</v>
      </c>
      <c r="D40" s="49" t="str">
        <f>IF(C40&lt;&gt;"",VLOOKUP(C40,'Dummy Table'!$B$3:$C$30,2,FALSE),"")</f>
        <v>Inglaterra</v>
      </c>
      <c r="E40" s="49" t="str">
        <f>IF(C40&lt;&gt;"",VLOOKUP(C40,'Dummy Table'!$B$3:$D$30,3,FALSE),"")</f>
        <v>McLaren 🏆</v>
      </c>
      <c r="F40" s="50">
        <v>1</v>
      </c>
      <c r="K40" s="71"/>
      <c r="M40" s="130"/>
      <c r="N40" s="130"/>
      <c r="O40" s="130"/>
    </row>
    <row r="41" spans="1:26" s="79" customFormat="1" x14ac:dyDescent="0.2">
      <c r="A41" s="62"/>
      <c r="B41" s="60">
        <f>$J$10</f>
        <v>9</v>
      </c>
      <c r="C41" s="48" t="s">
        <v>311</v>
      </c>
      <c r="D41" s="49" t="str">
        <f>IF(C41&lt;&gt;"",VLOOKUP(C41,'Dummy Table'!$B$3:$C$30,2,FALSE),"")</f>
        <v>Canadá</v>
      </c>
      <c r="E41" s="49" t="str">
        <f>IF(C41&lt;&gt;"",VLOOKUP(C41,'Dummy Table'!$B$3:$D$30,3,FALSE),"")</f>
        <v>Aston Martin</v>
      </c>
      <c r="F41" s="50"/>
      <c r="G41" s="66"/>
      <c r="H41" s="66"/>
      <c r="I41" s="66"/>
      <c r="J41" s="73"/>
      <c r="K41" s="71"/>
      <c r="L41" s="78"/>
      <c r="M41" s="130"/>
      <c r="N41" s="130"/>
      <c r="O41" s="130"/>
      <c r="P41" s="68"/>
      <c r="Q41" s="68"/>
      <c r="R41" s="68"/>
      <c r="S41" s="78"/>
      <c r="T41" s="78"/>
      <c r="U41" s="78"/>
      <c r="V41" s="78"/>
      <c r="W41" s="78"/>
      <c r="X41" s="78"/>
      <c r="Y41" s="78"/>
      <c r="Z41" s="78"/>
    </row>
    <row r="42" spans="1:26" x14ac:dyDescent="0.2">
      <c r="B42" s="60">
        <f>$J$11</f>
        <v>10</v>
      </c>
      <c r="C42" s="48" t="s">
        <v>30</v>
      </c>
      <c r="D42" s="49" t="str">
        <f>IF(C42&lt;&gt;"",VLOOKUP(C42,'Dummy Table'!$B$3:$C$30,2,FALSE),"")</f>
        <v>Espanha</v>
      </c>
      <c r="E42" s="49" t="str">
        <f>IF(C42&lt;&gt;"",VLOOKUP(C42,'Dummy Table'!$B$3:$D$30,3,FALSE),"")</f>
        <v>Aston Martin</v>
      </c>
      <c r="F42" s="50"/>
      <c r="K42" s="71"/>
      <c r="M42" s="130"/>
      <c r="N42" s="130"/>
      <c r="O42" s="130"/>
    </row>
    <row r="43" spans="1:26" x14ac:dyDescent="0.2">
      <c r="B43" s="60">
        <f>$J$12</f>
        <v>11</v>
      </c>
      <c r="C43" s="48" t="s">
        <v>315</v>
      </c>
      <c r="D43" s="49" t="str">
        <f>IF(C43&lt;&gt;"",VLOOKUP(C43,'Dummy Table'!$B$3:$C$30,2,FALSE),"")</f>
        <v>Tailandia</v>
      </c>
      <c r="E43" s="49" t="str">
        <f>IF(C43&lt;&gt;"",VLOOKUP(C43,'Dummy Table'!$B$3:$D$30,3,FALSE),"")</f>
        <v>Williams</v>
      </c>
      <c r="F43" s="51"/>
      <c r="K43" s="71"/>
      <c r="M43" s="130"/>
      <c r="N43" s="130"/>
      <c r="O43" s="130"/>
    </row>
    <row r="44" spans="1:26" x14ac:dyDescent="0.2">
      <c r="B44" s="60">
        <f>$J$13</f>
        <v>12</v>
      </c>
      <c r="C44" s="48" t="s">
        <v>312</v>
      </c>
      <c r="D44" s="49" t="str">
        <f>IF(C44&lt;&gt;"",VLOOKUP(C44,'Dummy Table'!$B$3:$C$30,2,FALSE),"")</f>
        <v>França</v>
      </c>
      <c r="E44" s="49" t="str">
        <f>IF(C44&lt;&gt;"",VLOOKUP(C44,'Dummy Table'!$B$3:$D$30,3,FALSE),"")</f>
        <v>Alpine</v>
      </c>
      <c r="F44" s="51"/>
      <c r="K44" s="71"/>
      <c r="M44" s="130"/>
      <c r="N44" s="130"/>
      <c r="O44" s="130"/>
    </row>
    <row r="45" spans="1:26" x14ac:dyDescent="0.2">
      <c r="B45" s="60">
        <f>$J$14</f>
        <v>13</v>
      </c>
      <c r="C45" s="48" t="s">
        <v>341</v>
      </c>
      <c r="D45" s="49" t="str">
        <f>IF(C45&lt;&gt;"",VLOOKUP(C45,'Dummy Table'!$B$3:$C$30,2,FALSE),"")</f>
        <v>França</v>
      </c>
      <c r="E45" s="49" t="str">
        <f>IF(C45&lt;&gt;"",VLOOKUP(C45,'Dummy Table'!$B$3:$D$30,3,FALSE),"")</f>
        <v>Racing Bulls</v>
      </c>
      <c r="F45" s="51"/>
      <c r="G45" s="72"/>
      <c r="H45" s="72"/>
      <c r="I45" s="72"/>
      <c r="K45" s="71"/>
      <c r="M45" s="130"/>
      <c r="N45" s="130"/>
      <c r="O45" s="130"/>
    </row>
    <row r="46" spans="1:26" x14ac:dyDescent="0.2">
      <c r="B46" s="60">
        <f>$J$15</f>
        <v>14</v>
      </c>
      <c r="C46" s="48" t="s">
        <v>335</v>
      </c>
      <c r="D46" s="49" t="str">
        <f>IF(C46&lt;&gt;"",VLOOKUP(C46,'Dummy Table'!$B$3:$C$30,2,FALSE),"")</f>
        <v>Austrália</v>
      </c>
      <c r="E46" s="49" t="str">
        <f>IF(C46&lt;&gt;"",VLOOKUP(C46,'Dummy Table'!$B$3:$D$30,3,FALSE),"")</f>
        <v>Racing Bulls</v>
      </c>
      <c r="F46" s="51"/>
      <c r="G46" s="72"/>
      <c r="H46" s="72"/>
      <c r="I46" s="72"/>
      <c r="K46" s="71"/>
      <c r="M46" s="83"/>
      <c r="N46" s="83"/>
      <c r="O46" s="83"/>
      <c r="P46" s="78"/>
      <c r="Q46" s="78"/>
      <c r="R46" s="78"/>
    </row>
    <row r="47" spans="1:26" x14ac:dyDescent="0.2">
      <c r="B47" s="60">
        <f>$J$16</f>
        <v>15</v>
      </c>
      <c r="C47" s="48" t="s">
        <v>338</v>
      </c>
      <c r="D47" s="49" t="str">
        <f>IF(C47&lt;&gt;"",VLOOKUP(C47,'Dummy Table'!$B$3:$C$30,2,FALSE),"")</f>
        <v>Inglaterra</v>
      </c>
      <c r="E47" s="49" t="str">
        <f>IF(C47&lt;&gt;"",VLOOKUP(C47,'Dummy Table'!$B$3:$D$30,3,FALSE),"")</f>
        <v>Haas</v>
      </c>
      <c r="F47" s="51"/>
      <c r="G47" s="72"/>
      <c r="H47" s="72"/>
      <c r="I47" s="72"/>
      <c r="K47" s="71"/>
      <c r="M47" s="130"/>
      <c r="N47" s="130"/>
      <c r="O47" s="130"/>
    </row>
    <row r="48" spans="1:26" x14ac:dyDescent="0.2">
      <c r="B48" s="60">
        <f>$J$17</f>
        <v>16</v>
      </c>
      <c r="C48" s="48" t="s">
        <v>319</v>
      </c>
      <c r="D48" s="49" t="str">
        <f>IF(C48&lt;&gt;"",VLOOKUP(C48,'Dummy Table'!$B$3:$C$30,2,FALSE),"")</f>
        <v>França</v>
      </c>
      <c r="E48" s="49" t="str">
        <f>IF(C48&lt;&gt;"",VLOOKUP(C48,'Dummy Table'!$B$3:$D$30,3,FALSE),"")</f>
        <v>Haas</v>
      </c>
      <c r="F48" s="51"/>
      <c r="G48" s="72"/>
      <c r="H48" s="72"/>
      <c r="I48" s="72"/>
      <c r="K48" s="71"/>
      <c r="M48" s="130"/>
      <c r="N48" s="130"/>
      <c r="O48" s="130"/>
    </row>
    <row r="49" spans="1:26" x14ac:dyDescent="0.2">
      <c r="B49" s="60">
        <f>$J$18</f>
        <v>17</v>
      </c>
      <c r="C49" s="48" t="s">
        <v>343</v>
      </c>
      <c r="D49" s="49" t="str">
        <f>IF(C49&lt;&gt;"",VLOOKUP(C49,'Dummy Table'!$B$3:$C$30,2,FALSE),"")</f>
        <v>Espanha</v>
      </c>
      <c r="E49" s="49" t="str">
        <f>IF(C49&lt;&gt;"",VLOOKUP(C49,'Dummy Table'!$B$3:$D$30,3,FALSE),"")</f>
        <v>Williams</v>
      </c>
      <c r="F49" s="51"/>
      <c r="G49" s="72"/>
      <c r="H49" s="72"/>
      <c r="I49" s="72"/>
      <c r="M49" s="130"/>
      <c r="N49" s="130"/>
      <c r="O49" s="130"/>
    </row>
    <row r="50" spans="1:26" x14ac:dyDescent="0.2">
      <c r="B50" s="60">
        <f>$J$19</f>
        <v>18</v>
      </c>
      <c r="C50" s="48" t="s">
        <v>344</v>
      </c>
      <c r="D50" s="49" t="str">
        <f>IF(C50&lt;&gt;"",VLOOKUP(C50,'Dummy Table'!$B$3:$C$30,2,FALSE),"")</f>
        <v>Brasil</v>
      </c>
      <c r="E50" s="49" t="str">
        <f>IF(C50&lt;&gt;"",VLOOKUP(C50,'Dummy Table'!$B$3:$D$30,3,FALSE),"")</f>
        <v>Kick Sauber</v>
      </c>
      <c r="F50" s="51"/>
      <c r="G50" s="72"/>
      <c r="H50" s="72"/>
      <c r="I50" s="72"/>
      <c r="K50" s="78"/>
      <c r="M50" s="130"/>
      <c r="N50" s="130"/>
      <c r="O50" s="130"/>
    </row>
    <row r="51" spans="1:26" x14ac:dyDescent="0.2">
      <c r="B51" s="60">
        <f>$J$20</f>
        <v>19</v>
      </c>
      <c r="C51" s="48" t="s">
        <v>257</v>
      </c>
      <c r="D51" s="49" t="str">
        <f>IF(C51&lt;&gt;"",VLOOKUP(C51,'Dummy Table'!$B$3:$C$30,2,FALSE),"")</f>
        <v>Alemanha</v>
      </c>
      <c r="E51" s="49" t="str">
        <f>IF(C51&lt;&gt;"",VLOOKUP(C51,'Dummy Table'!$B$3:$D$30,3,FALSE),"")</f>
        <v>Kick Sauber</v>
      </c>
      <c r="F51" s="51"/>
      <c r="G51" s="72"/>
      <c r="H51" s="72"/>
      <c r="I51" s="72"/>
      <c r="M51" s="130"/>
      <c r="N51" s="130"/>
      <c r="O51" s="130"/>
    </row>
    <row r="52" spans="1:26" x14ac:dyDescent="0.2">
      <c r="B52" s="60">
        <f>$J$21</f>
        <v>20</v>
      </c>
      <c r="C52" s="48" t="s">
        <v>337</v>
      </c>
      <c r="D52" s="49" t="str">
        <f>IF(C52&lt;&gt;"",VLOOKUP(C52,'Dummy Table'!$B$3:$C$30,2,FALSE),"")</f>
        <v>Austrália</v>
      </c>
      <c r="E52" s="49" t="str">
        <f>IF(C52&lt;&gt;"",VLOOKUP(C52,'Dummy Table'!$B$3:$D$30,3,FALSE),"")</f>
        <v>Alpine</v>
      </c>
      <c r="F52" s="51"/>
      <c r="G52" s="72"/>
      <c r="H52" s="72"/>
      <c r="I52" s="72"/>
      <c r="K52" s="71"/>
      <c r="M52" s="130"/>
      <c r="N52" s="130"/>
      <c r="O52" s="130"/>
    </row>
    <row r="53" spans="1:26" hidden="1" x14ac:dyDescent="0.2">
      <c r="B53" s="60"/>
      <c r="C53" s="48"/>
      <c r="D53" s="49"/>
      <c r="E53" s="49"/>
      <c r="F53" s="51"/>
      <c r="G53" s="72"/>
      <c r="H53" s="72"/>
      <c r="I53" s="72"/>
      <c r="K53" s="71"/>
      <c r="M53" s="130"/>
      <c r="N53" s="130"/>
      <c r="O53" s="130"/>
    </row>
    <row r="54" spans="1:26" x14ac:dyDescent="0.2">
      <c r="B54" s="134"/>
      <c r="C54" s="136" t="s">
        <v>397</v>
      </c>
      <c r="D54" s="135"/>
      <c r="E54" s="135"/>
      <c r="F54" s="135"/>
      <c r="G54" s="72"/>
      <c r="H54" s="72"/>
      <c r="I54" s="72"/>
      <c r="K54" s="82"/>
      <c r="M54" s="74"/>
      <c r="N54" s="74"/>
      <c r="O54" s="74"/>
      <c r="P54" s="74"/>
      <c r="Q54" s="74"/>
      <c r="R54" s="74"/>
      <c r="S54" s="74"/>
      <c r="T54" s="74"/>
      <c r="V54" s="68"/>
      <c r="W54" s="68"/>
      <c r="X54" s="68"/>
    </row>
    <row r="55" spans="1:26" x14ac:dyDescent="0.2">
      <c r="B55" s="61" t="s">
        <v>14</v>
      </c>
      <c r="C55" s="61" t="s">
        <v>29</v>
      </c>
      <c r="D55" s="61" t="s">
        <v>16</v>
      </c>
      <c r="E55" s="61" t="s">
        <v>17</v>
      </c>
      <c r="F55" s="61" t="s">
        <v>18</v>
      </c>
      <c r="M55" s="83"/>
      <c r="N55" s="83"/>
      <c r="O55" s="83"/>
      <c r="P55" s="78"/>
      <c r="Q55" s="78"/>
      <c r="R55" s="78"/>
      <c r="V55" s="68"/>
      <c r="W55" s="68"/>
      <c r="X55" s="68"/>
    </row>
    <row r="56" spans="1:26" x14ac:dyDescent="0.2">
      <c r="B56" s="59">
        <f>$J$2</f>
        <v>1</v>
      </c>
      <c r="C56" s="48" t="s">
        <v>334</v>
      </c>
      <c r="D56" s="49" t="str">
        <f>IF(C56&lt;&gt;"",VLOOKUP(C56,'Dummy Table'!$B$3:$C$30,2,FALSE),"")</f>
        <v>Austrália</v>
      </c>
      <c r="E56" s="49" t="str">
        <f>IF(C56&lt;&gt;"",VLOOKUP(C56,'Dummy Table'!$B$3:$D$30,3,FALSE),"")</f>
        <v>McLaren 🏆</v>
      </c>
      <c r="F56" s="50">
        <v>25</v>
      </c>
      <c r="G56" s="66">
        <f>IF(C56="",F56,0)</f>
        <v>0</v>
      </c>
      <c r="H56" s="66">
        <f>IF(C56="",F56,0)</f>
        <v>0</v>
      </c>
      <c r="I56" s="66">
        <f>IF(C56="",1,0)</f>
        <v>0</v>
      </c>
      <c r="K56" s="71"/>
      <c r="V56" s="68"/>
      <c r="W56" s="68"/>
      <c r="X56" s="68"/>
    </row>
    <row r="57" spans="1:26" x14ac:dyDescent="0.2">
      <c r="B57" s="60">
        <f>$J$3</f>
        <v>2</v>
      </c>
      <c r="C57" s="48" t="s">
        <v>316</v>
      </c>
      <c r="D57" s="49" t="str">
        <f>IF(C57&lt;&gt;"",VLOOKUP(C57,'Dummy Table'!$B$3:$C$30,2,FALSE),"")</f>
        <v>Inglaterra</v>
      </c>
      <c r="E57" s="49" t="str">
        <f>IF(C57&lt;&gt;"",VLOOKUP(C57,'Dummy Table'!$B$3:$D$30,3,FALSE),"")</f>
        <v>McLaren 🏆</v>
      </c>
      <c r="F57" s="50">
        <v>18</v>
      </c>
      <c r="H57" s="66">
        <f>IF(C57="",F57,0)</f>
        <v>0</v>
      </c>
      <c r="K57" s="71"/>
    </row>
    <row r="58" spans="1:26" x14ac:dyDescent="0.2">
      <c r="B58" s="60">
        <f>$J$4</f>
        <v>3</v>
      </c>
      <c r="C58" s="48" t="s">
        <v>394</v>
      </c>
      <c r="D58" s="49" t="str">
        <f>IF(C58&lt;&gt;"",VLOOKUP(C58,'Dummy Table'!$B$3:$C$30,2,FALSE),"")</f>
        <v>Inglaterra</v>
      </c>
      <c r="E58" s="49" t="str">
        <f>IF(C58&lt;&gt;"",VLOOKUP(C58,'Dummy Table'!$B$3:$D$30,3,FALSE),"")</f>
        <v>Mercedes</v>
      </c>
      <c r="F58" s="50">
        <v>15</v>
      </c>
    </row>
    <row r="59" spans="1:26" x14ac:dyDescent="0.2">
      <c r="B59" s="60">
        <f>$J$5</f>
        <v>4</v>
      </c>
      <c r="C59" s="48" t="s">
        <v>305</v>
      </c>
      <c r="D59" s="49" t="str">
        <f>IF(C59&lt;&gt;"",VLOOKUP(C59,'Dummy Table'!$B$3:$C$30,2,FALSE),"")</f>
        <v>Holanda</v>
      </c>
      <c r="E59" s="49" t="str">
        <f>IF(C59&lt;&gt;"",VLOOKUP(C59,'Dummy Table'!$B$3:$D$30,3,FALSE),"")</f>
        <v>Red Bull</v>
      </c>
      <c r="F59" s="50">
        <v>12</v>
      </c>
      <c r="K59" s="78"/>
    </row>
    <row r="60" spans="1:26" x14ac:dyDescent="0.2">
      <c r="B60" s="60">
        <f>$J$6</f>
        <v>5</v>
      </c>
      <c r="C60" s="48" t="s">
        <v>319</v>
      </c>
      <c r="D60" s="49" t="str">
        <f>IF(C60&lt;&gt;"",VLOOKUP(C60,'Dummy Table'!$B$3:$C$30,2,FALSE),"")</f>
        <v>França</v>
      </c>
      <c r="E60" s="49" t="str">
        <f>IF(C60&lt;&gt;"",VLOOKUP(C60,'Dummy Table'!$B$3:$D$30,3,FALSE),"")</f>
        <v>Haas</v>
      </c>
      <c r="F60" s="50">
        <v>10</v>
      </c>
    </row>
    <row r="61" spans="1:26" x14ac:dyDescent="0.2">
      <c r="B61" s="60">
        <f>$J$7</f>
        <v>6</v>
      </c>
      <c r="C61" s="48" t="s">
        <v>336</v>
      </c>
      <c r="D61" s="49" t="str">
        <f>IF(C61&lt;&gt;"",VLOOKUP(C61,'Dummy Table'!$B$3:$C$30,2,FALSE),"")</f>
        <v>Itália</v>
      </c>
      <c r="E61" s="49" t="str">
        <f>IF(C61&lt;&gt;"",VLOOKUP(C61,'Dummy Table'!$B$3:$D$30,3,FALSE),"")</f>
        <v>Mercedes</v>
      </c>
      <c r="F61" s="50">
        <v>8</v>
      </c>
      <c r="K61" s="71"/>
    </row>
    <row r="62" spans="1:26" x14ac:dyDescent="0.2">
      <c r="B62" s="60">
        <f>$J$8</f>
        <v>7</v>
      </c>
      <c r="C62" s="48" t="s">
        <v>315</v>
      </c>
      <c r="D62" s="49" t="str">
        <f>IF(C62&lt;&gt;"",VLOOKUP(C62,'Dummy Table'!$B$3:$C$30,2,FALSE),"")</f>
        <v>Tailandia</v>
      </c>
      <c r="E62" s="49" t="str">
        <f>IF(C62&lt;&gt;"",VLOOKUP(C62,'Dummy Table'!$B$3:$D$30,3,FALSE),"")</f>
        <v>Williams</v>
      </c>
      <c r="F62" s="50">
        <v>6</v>
      </c>
      <c r="K62" s="71"/>
    </row>
    <row r="63" spans="1:26" x14ac:dyDescent="0.2">
      <c r="B63" s="60">
        <f>$J$9</f>
        <v>8</v>
      </c>
      <c r="C63" s="48" t="s">
        <v>338</v>
      </c>
      <c r="D63" s="49" t="str">
        <f>IF(C63&lt;&gt;"",VLOOKUP(C63,'Dummy Table'!$B$3:$C$30,2,FALSE),"")</f>
        <v>Inglaterra</v>
      </c>
      <c r="E63" s="49" t="str">
        <f>IF(C63&lt;&gt;"",VLOOKUP(C63,'Dummy Table'!$B$3:$D$30,3,FALSE),"")</f>
        <v>Haas</v>
      </c>
      <c r="F63" s="50">
        <v>4</v>
      </c>
      <c r="K63" s="71"/>
    </row>
    <row r="64" spans="1:26" s="79" customFormat="1" x14ac:dyDescent="0.2">
      <c r="A64" s="62"/>
      <c r="B64" s="60">
        <f>$J$10</f>
        <v>9</v>
      </c>
      <c r="C64" s="48" t="s">
        <v>311</v>
      </c>
      <c r="D64" s="49" t="str">
        <f>IF(C64&lt;&gt;"",VLOOKUP(C64,'Dummy Table'!$B$3:$C$30,2,FALSE),"")</f>
        <v>Canadá</v>
      </c>
      <c r="E64" s="49" t="str">
        <f>IF(C64&lt;&gt;"",VLOOKUP(C64,'Dummy Table'!$B$3:$D$30,3,FALSE),"")</f>
        <v>Aston Martin</v>
      </c>
      <c r="F64" s="50">
        <v>2</v>
      </c>
      <c r="G64" s="66"/>
      <c r="H64" s="66"/>
      <c r="I64" s="66"/>
      <c r="J64" s="73"/>
      <c r="K64" s="71"/>
      <c r="L64" s="78"/>
      <c r="M64" s="69"/>
      <c r="N64" s="69"/>
      <c r="O64" s="69"/>
      <c r="P64" s="68"/>
      <c r="Q64" s="68"/>
      <c r="R64" s="68"/>
      <c r="S64" s="78"/>
      <c r="T64" s="78"/>
      <c r="U64" s="78"/>
      <c r="V64" s="78"/>
      <c r="W64" s="78"/>
      <c r="X64" s="78"/>
      <c r="Y64" s="78"/>
      <c r="Z64" s="78"/>
    </row>
    <row r="65" spans="1:26" x14ac:dyDescent="0.2">
      <c r="B65" s="60">
        <f>$J$11</f>
        <v>10</v>
      </c>
      <c r="C65" s="48" t="s">
        <v>343</v>
      </c>
      <c r="D65" s="49" t="str">
        <f>IF(C65&lt;&gt;"",VLOOKUP(C65,'Dummy Table'!$B$3:$C$30,2,FALSE),"")</f>
        <v>Espanha</v>
      </c>
      <c r="E65" s="49" t="str">
        <f>IF(C65&lt;&gt;"",VLOOKUP(C65,'Dummy Table'!$B$3:$D$30,3,FALSE),"")</f>
        <v>Williams</v>
      </c>
      <c r="F65" s="50">
        <v>1</v>
      </c>
      <c r="K65" s="71"/>
    </row>
    <row r="66" spans="1:26" x14ac:dyDescent="0.2">
      <c r="B66" s="60">
        <f>$J$12</f>
        <v>11</v>
      </c>
      <c r="C66" s="48" t="s">
        <v>341</v>
      </c>
      <c r="D66" s="49" t="str">
        <f>IF(C66&lt;&gt;"",VLOOKUP(C66,'Dummy Table'!$B$3:$C$30,2,FALSE),"")</f>
        <v>França</v>
      </c>
      <c r="E66" s="49" t="str">
        <f>IF(C66&lt;&gt;"",VLOOKUP(C66,'Dummy Table'!$B$3:$D$30,3,FALSE),"")</f>
        <v>Racing Bulls</v>
      </c>
      <c r="F66" s="51"/>
      <c r="K66" s="71"/>
    </row>
    <row r="67" spans="1:26" x14ac:dyDescent="0.2">
      <c r="B67" s="60">
        <f>$J$13</f>
        <v>12</v>
      </c>
      <c r="C67" s="48" t="s">
        <v>335</v>
      </c>
      <c r="D67" s="49" t="str">
        <f>IF(C67&lt;&gt;"",VLOOKUP(C67,'Dummy Table'!$B$3:$C$30,2,FALSE),"")</f>
        <v>Austrália</v>
      </c>
      <c r="E67" s="49" t="str">
        <f>IF(C67&lt;&gt;"",VLOOKUP(C67,'Dummy Table'!$B$3:$D$30,3,FALSE),"")</f>
        <v>Racing Bulls</v>
      </c>
      <c r="F67" s="51"/>
      <c r="K67" s="71"/>
    </row>
    <row r="68" spans="1:26" x14ac:dyDescent="0.2">
      <c r="B68" s="60">
        <f>$J$14</f>
        <v>13</v>
      </c>
      <c r="C68" s="48" t="s">
        <v>337</v>
      </c>
      <c r="D68" s="49" t="str">
        <f>IF(C68&lt;&gt;"",VLOOKUP(C68,'Dummy Table'!$B$3:$C$30,2,FALSE),"")</f>
        <v>Austrália</v>
      </c>
      <c r="E68" s="49" t="str">
        <f>IF(C68&lt;&gt;"",VLOOKUP(C68,'Dummy Table'!$B$3:$D$30,3,FALSE),"")</f>
        <v>Alpine</v>
      </c>
      <c r="F68" s="51"/>
      <c r="G68" s="72"/>
      <c r="H68" s="72"/>
      <c r="I68" s="72"/>
      <c r="K68" s="71"/>
    </row>
    <row r="69" spans="1:26" x14ac:dyDescent="0.2">
      <c r="B69" s="60">
        <f>$J$15</f>
        <v>14</v>
      </c>
      <c r="C69" s="48" t="s">
        <v>344</v>
      </c>
      <c r="D69" s="49" t="str">
        <f>IF(C69&lt;&gt;"",VLOOKUP(C69,'Dummy Table'!$B$3:$C$30,2,FALSE),"")</f>
        <v>Brasil</v>
      </c>
      <c r="E69" s="49" t="str">
        <f>IF(C69&lt;&gt;"",VLOOKUP(C69,'Dummy Table'!$B$3:$D$30,3,FALSE),"")</f>
        <v>Kick Sauber</v>
      </c>
      <c r="F69" s="51"/>
      <c r="G69" s="72"/>
      <c r="H69" s="72"/>
      <c r="I69" s="72"/>
      <c r="K69" s="71"/>
      <c r="M69" s="83"/>
      <c r="N69" s="83"/>
      <c r="O69" s="83"/>
      <c r="P69" s="78"/>
      <c r="Q69" s="78"/>
      <c r="R69" s="78"/>
    </row>
    <row r="70" spans="1:26" x14ac:dyDescent="0.2">
      <c r="B70" s="60">
        <f>$J$16</f>
        <v>15</v>
      </c>
      <c r="C70" s="48" t="s">
        <v>257</v>
      </c>
      <c r="D70" s="49" t="str">
        <f>IF(C70&lt;&gt;"",VLOOKUP(C70,'Dummy Table'!$B$3:$C$30,2,FALSE),"")</f>
        <v>Alemanha</v>
      </c>
      <c r="E70" s="49" t="str">
        <f>IF(C70&lt;&gt;"",VLOOKUP(C70,'Dummy Table'!$B$3:$D$30,3,FALSE),"")</f>
        <v>Kick Sauber</v>
      </c>
      <c r="F70" s="51"/>
      <c r="G70" s="72"/>
      <c r="H70" s="72"/>
      <c r="I70" s="72"/>
      <c r="K70" s="71"/>
    </row>
    <row r="71" spans="1:26" x14ac:dyDescent="0.2">
      <c r="B71" s="60">
        <f>$J$17</f>
        <v>16</v>
      </c>
      <c r="C71" s="48" t="s">
        <v>339</v>
      </c>
      <c r="D71" s="49" t="str">
        <f>IF(C71&lt;&gt;"",VLOOKUP(C71,'Dummy Table'!$B$3:$C$30,2,FALSE),"")</f>
        <v>Japão</v>
      </c>
      <c r="E71" s="49" t="str">
        <f>IF(C71&lt;&gt;"",VLOOKUP(C71,'Dummy Table'!$B$3:$D$30,3,FALSE),"")</f>
        <v>Red Bull</v>
      </c>
      <c r="F71" s="51"/>
      <c r="G71" s="72"/>
      <c r="H71" s="72"/>
      <c r="I71" s="72"/>
      <c r="K71" s="71"/>
    </row>
    <row r="72" spans="1:26" x14ac:dyDescent="0.2">
      <c r="B72" s="60">
        <f>$J$18</f>
        <v>17</v>
      </c>
      <c r="C72" s="48" t="s">
        <v>30</v>
      </c>
      <c r="D72" s="49" t="str">
        <f>IF(C72&lt;&gt;"",VLOOKUP(C72,'Dummy Table'!$B$3:$C$30,2,FALSE),"")</f>
        <v>Espanha</v>
      </c>
      <c r="E72" s="49" t="str">
        <f>IF(C72&lt;&gt;"",VLOOKUP(C72,'Dummy Table'!$B$3:$D$30,3,FALSE),"")</f>
        <v>Aston Martin</v>
      </c>
      <c r="F72" s="51" t="s">
        <v>320</v>
      </c>
      <c r="G72" s="72"/>
      <c r="H72" s="72"/>
      <c r="I72" s="72"/>
    </row>
    <row r="73" spans="1:26" x14ac:dyDescent="0.2">
      <c r="B73" s="60">
        <f>$J$19</f>
        <v>18</v>
      </c>
      <c r="C73" s="48" t="s">
        <v>313</v>
      </c>
      <c r="D73" s="49" t="str">
        <f>IF(C73&lt;&gt;"",VLOOKUP(C73,'Dummy Table'!$B$3:$C$30,2,FALSE),"")</f>
        <v>Mônaco</v>
      </c>
      <c r="E73" s="49" t="str">
        <f>IF(C73&lt;&gt;"",VLOOKUP(C73,'Dummy Table'!$B$3:$D$30,3,FALSE),"")</f>
        <v>Ferrari</v>
      </c>
      <c r="F73" s="51" t="s">
        <v>398</v>
      </c>
      <c r="G73" s="72"/>
      <c r="H73" s="72"/>
      <c r="I73" s="72"/>
      <c r="K73" s="78"/>
    </row>
    <row r="74" spans="1:26" x14ac:dyDescent="0.2">
      <c r="B74" s="60">
        <f>$J$20</f>
        <v>19</v>
      </c>
      <c r="C74" s="48" t="s">
        <v>1</v>
      </c>
      <c r="D74" s="49" t="str">
        <f>IF(C74&lt;&gt;"",VLOOKUP(C74,'Dummy Table'!$B$3:$C$30,2,FALSE),"")</f>
        <v>Inglaterra</v>
      </c>
      <c r="E74" s="49" t="str">
        <f>IF(C74&lt;&gt;"",VLOOKUP(C74,'Dummy Table'!$B$3:$D$30,3,FALSE),"")</f>
        <v>Ferrari</v>
      </c>
      <c r="F74" s="51" t="s">
        <v>398</v>
      </c>
      <c r="G74" s="72"/>
      <c r="H74" s="72"/>
      <c r="I74" s="72"/>
    </row>
    <row r="75" spans="1:26" x14ac:dyDescent="0.2">
      <c r="B75" s="60">
        <f>$J$21</f>
        <v>20</v>
      </c>
      <c r="C75" s="48" t="s">
        <v>312</v>
      </c>
      <c r="D75" s="49" t="str">
        <f>IF(C75&lt;&gt;"",VLOOKUP(C75,'Dummy Table'!$B$3:$C$30,2,FALSE),"")</f>
        <v>França</v>
      </c>
      <c r="E75" s="49" t="str">
        <f>IF(C75&lt;&gt;"",VLOOKUP(C75,'Dummy Table'!$B$3:$D$30,3,FALSE),"")</f>
        <v>Alpine</v>
      </c>
      <c r="F75" s="51" t="s">
        <v>398</v>
      </c>
      <c r="G75" s="72"/>
      <c r="H75" s="72"/>
      <c r="I75" s="72"/>
      <c r="K75" s="71"/>
    </row>
    <row r="76" spans="1:26" ht="12.75" hidden="1" customHeight="1" x14ac:dyDescent="0.2">
      <c r="B76" s="76">
        <f>$J$22</f>
        <v>21</v>
      </c>
      <c r="C76" s="75"/>
      <c r="D76" s="65" t="str">
        <f>IF(C76&lt;&gt;"",VLOOKUP(C76,'Dummy Table'!$B$3:$C$30,2,FALSE),"")</f>
        <v/>
      </c>
      <c r="E76" s="65" t="str">
        <f>IF(C76&lt;&gt;"",VLOOKUP(C76,'Dummy Table'!$B$3:$D$30,3,FALSE),"")</f>
        <v/>
      </c>
      <c r="F76" s="77"/>
      <c r="G76" s="72"/>
      <c r="H76" s="72"/>
      <c r="I76" s="72"/>
      <c r="K76" s="71"/>
    </row>
    <row r="77" spans="1:26" ht="12.75" hidden="1" customHeight="1" x14ac:dyDescent="0.2">
      <c r="B77" s="76" t="str">
        <f>$J$23</f>
        <v/>
      </c>
      <c r="C77" s="75"/>
      <c r="D77" s="65" t="str">
        <f>IF(C77&lt;&gt;"",VLOOKUP(C77,'Dummy Table'!$B$3:$C$30,2,FALSE),"")</f>
        <v/>
      </c>
      <c r="E77" s="65" t="str">
        <f>IF(C77&lt;&gt;"",VLOOKUP(C77,'Dummy Table'!$B$3:$D$30,3,FALSE),"")</f>
        <v/>
      </c>
      <c r="F77" s="80"/>
      <c r="G77" s="72"/>
      <c r="H77" s="72"/>
      <c r="I77" s="72"/>
      <c r="K77" s="71"/>
    </row>
    <row r="78" spans="1:26" s="79" customFormat="1" ht="12.75" hidden="1" customHeight="1" x14ac:dyDescent="0.2">
      <c r="A78" s="62"/>
      <c r="B78" s="76" t="str">
        <f>IF(F78="",$J$24,"Ret")</f>
        <v/>
      </c>
      <c r="C78" s="75"/>
      <c r="D78" s="65" t="str">
        <f>IF(C78&lt;&gt;"",VLOOKUP(C78,'Dummy Table'!$B$3:$C$30,2,FALSE),"")</f>
        <v/>
      </c>
      <c r="E78" s="65" t="str">
        <f>IF(C78&lt;&gt;"",VLOOKUP(C78,'Dummy Table'!$B$3:$D$30,3,FALSE),"")</f>
        <v/>
      </c>
      <c r="F78" s="81"/>
      <c r="G78" s="72"/>
      <c r="H78" s="72"/>
      <c r="I78" s="72"/>
      <c r="J78" s="73"/>
      <c r="K78" s="71"/>
      <c r="L78" s="78"/>
      <c r="M78" s="69"/>
      <c r="N78" s="69"/>
      <c r="O78" s="69"/>
      <c r="P78" s="68"/>
      <c r="Q78" s="68"/>
      <c r="R78" s="68"/>
      <c r="S78" s="78"/>
      <c r="T78" s="78"/>
      <c r="U78" s="78"/>
      <c r="V78" s="78"/>
      <c r="W78" s="78"/>
      <c r="X78" s="78"/>
      <c r="Y78" s="78"/>
      <c r="Z78" s="78"/>
    </row>
    <row r="79" spans="1:26" ht="12.75" hidden="1" customHeight="1" x14ac:dyDescent="0.2">
      <c r="B79" s="76" t="str">
        <f>IF(F79="",$J$25,"Ret")</f>
        <v/>
      </c>
      <c r="C79" s="75"/>
      <c r="D79" s="65" t="str">
        <f>IF(C79&lt;&gt;"",VLOOKUP(C79,'Dummy Table'!$B$3:$C$30,2,FALSE),"")</f>
        <v/>
      </c>
      <c r="E79" s="65" t="str">
        <f>IF(C79&lt;&gt;"",VLOOKUP(C79,'Dummy Table'!$B$3:$D$30,3,FALSE),"")</f>
        <v/>
      </c>
      <c r="F79" s="81"/>
      <c r="G79" s="72"/>
      <c r="H79" s="72"/>
      <c r="I79" s="72"/>
      <c r="K79" s="71"/>
    </row>
    <row r="80" spans="1:26" x14ac:dyDescent="0.2">
      <c r="B80" s="52" t="s">
        <v>248</v>
      </c>
      <c r="C80" s="53" t="s">
        <v>334</v>
      </c>
      <c r="D80" s="54" t="str">
        <f>IF(C80&lt;&gt;"",VLOOKUP(C80,'Dummy Table'!$B$3:$C$30,2,FALSE),"")</f>
        <v>Austrália</v>
      </c>
      <c r="E80" s="54" t="str">
        <f>IF(C80&lt;&gt;"",VLOOKUP(C80,'Dummy Table'!$B$3:$D$30,3,FALSE),"")</f>
        <v>McLaren 🏆</v>
      </c>
      <c r="F80" s="55"/>
      <c r="H80" s="72"/>
      <c r="K80" s="71"/>
    </row>
    <row r="81" spans="1:26" x14ac:dyDescent="0.2">
      <c r="B81" s="56" t="s">
        <v>238</v>
      </c>
      <c r="C81" s="57" t="s">
        <v>1</v>
      </c>
      <c r="D81" s="54" t="str">
        <f>IF(C81&lt;&gt;"",VLOOKUP(C81,'Dummy Table'!$B$3:$C$30,2,FALSE),"")</f>
        <v>Inglaterra</v>
      </c>
      <c r="E81" s="54" t="str">
        <f>IF(C81&lt;&gt;"",VLOOKUP(C81,'Dummy Table'!$B$3:$D$30,3,FALSE),"")</f>
        <v>Ferrari</v>
      </c>
      <c r="F81" s="58"/>
      <c r="H81" s="66">
        <f>IF(C81="",F81,0)</f>
        <v>0</v>
      </c>
      <c r="K81" s="71"/>
    </row>
    <row r="82" spans="1:26" x14ac:dyDescent="0.2">
      <c r="A82" s="62">
        <v>3</v>
      </c>
      <c r="B82" s="88">
        <f>VLOOKUP(A82,'Calendário atual'!$A$2:$E$30,2,FALSE)</f>
        <v>45753</v>
      </c>
      <c r="C82" s="162" t="str">
        <f>VLOOKUP(A82,'Calendário atual'!$A$2:$E$30,4,FALSE)</f>
        <v>FORMULA 1 LENOVO JAPANESE GRAND PRIX 2025</v>
      </c>
      <c r="D82" s="162"/>
      <c r="E82" s="162"/>
      <c r="F82" s="88" t="str">
        <f>VLOOKUP(A82,'Calendário atual'!$A$2:$E$30,3,FALSE)</f>
        <v>Japão</v>
      </c>
      <c r="G82" s="72"/>
      <c r="H82" s="72"/>
      <c r="I82" s="72"/>
      <c r="K82" s="71"/>
    </row>
    <row r="83" spans="1:26" x14ac:dyDescent="0.2">
      <c r="B83" s="61" t="s">
        <v>14</v>
      </c>
      <c r="C83" s="61" t="s">
        <v>29</v>
      </c>
      <c r="D83" s="61" t="s">
        <v>16</v>
      </c>
      <c r="E83" s="61" t="s">
        <v>17</v>
      </c>
      <c r="F83" s="61" t="s">
        <v>18</v>
      </c>
      <c r="K83" s="71"/>
      <c r="M83" s="83"/>
      <c r="N83" s="83"/>
      <c r="O83" s="83"/>
      <c r="P83" s="78"/>
      <c r="Q83" s="78"/>
      <c r="R83" s="78"/>
    </row>
    <row r="84" spans="1:26" x14ac:dyDescent="0.2">
      <c r="B84" s="59">
        <f>$J$2</f>
        <v>1</v>
      </c>
      <c r="C84" s="48" t="s">
        <v>305</v>
      </c>
      <c r="D84" s="49" t="str">
        <f>IF(C84&lt;&gt;"",VLOOKUP(C84,'Dummy Table'!$B$3:$C$30,2,FALSE),"")</f>
        <v>Holanda</v>
      </c>
      <c r="E84" s="49" t="str">
        <f>IF(C84&lt;&gt;"",VLOOKUP(C84,'Dummy Table'!$B$3:$D$30,3,FALSE),"")</f>
        <v>Red Bull</v>
      </c>
      <c r="F84" s="50">
        <v>25</v>
      </c>
      <c r="G84" s="66">
        <f>IF(C84="",F84,0)</f>
        <v>0</v>
      </c>
      <c r="H84" s="66">
        <f>IF(C84="",F84,0)</f>
        <v>0</v>
      </c>
      <c r="I84" s="66">
        <f>IF(C84="",1,0)</f>
        <v>0</v>
      </c>
      <c r="K84" s="71"/>
    </row>
    <row r="85" spans="1:26" x14ac:dyDescent="0.2">
      <c r="B85" s="60">
        <f>$J$3</f>
        <v>2</v>
      </c>
      <c r="C85" s="48" t="s">
        <v>316</v>
      </c>
      <c r="D85" s="49" t="str">
        <f>IF(C85&lt;&gt;"",VLOOKUP(C85,'Dummy Table'!$B$3:$C$30,2,FALSE),"")</f>
        <v>Inglaterra</v>
      </c>
      <c r="E85" s="49" t="str">
        <f>IF(C85&lt;&gt;"",VLOOKUP(C85,'Dummy Table'!$B$3:$D$30,3,FALSE),"")</f>
        <v>McLaren 🏆</v>
      </c>
      <c r="F85" s="50">
        <v>18</v>
      </c>
      <c r="H85" s="66">
        <f>IF(C85="",F85,0)</f>
        <v>0</v>
      </c>
      <c r="K85" s="71"/>
    </row>
    <row r="86" spans="1:26" x14ac:dyDescent="0.2">
      <c r="B86" s="60">
        <f>$J$4</f>
        <v>3</v>
      </c>
      <c r="C86" s="48" t="s">
        <v>334</v>
      </c>
      <c r="D86" s="49" t="str">
        <f>IF(C86&lt;&gt;"",VLOOKUP(C86,'Dummy Table'!$B$3:$C$30,2,FALSE),"")</f>
        <v>Austrália</v>
      </c>
      <c r="E86" s="49" t="str">
        <f>IF(C86&lt;&gt;"",VLOOKUP(C86,'Dummy Table'!$B$3:$D$30,3,FALSE),"")</f>
        <v>McLaren 🏆</v>
      </c>
      <c r="F86" s="50">
        <v>15</v>
      </c>
    </row>
    <row r="87" spans="1:26" x14ac:dyDescent="0.2">
      <c r="B87" s="60">
        <f>$J$5</f>
        <v>4</v>
      </c>
      <c r="C87" s="48" t="s">
        <v>313</v>
      </c>
      <c r="D87" s="49" t="str">
        <f>IF(C87&lt;&gt;"",VLOOKUP(C87,'Dummy Table'!$B$3:$C$30,2,FALSE),"")</f>
        <v>Mônaco</v>
      </c>
      <c r="E87" s="49" t="str">
        <f>IF(C87&lt;&gt;"",VLOOKUP(C87,'Dummy Table'!$B$3:$D$30,3,FALSE),"")</f>
        <v>Ferrari</v>
      </c>
      <c r="F87" s="50">
        <v>12</v>
      </c>
      <c r="K87" s="78"/>
    </row>
    <row r="88" spans="1:26" x14ac:dyDescent="0.2">
      <c r="B88" s="60">
        <f>$J$6</f>
        <v>5</v>
      </c>
      <c r="C88" s="48" t="s">
        <v>394</v>
      </c>
      <c r="D88" s="49" t="str">
        <f>IF(C88&lt;&gt;"",VLOOKUP(C88,'Dummy Table'!$B$3:$C$30,2,FALSE),"")</f>
        <v>Inglaterra</v>
      </c>
      <c r="E88" s="49" t="str">
        <f>IF(C88&lt;&gt;"",VLOOKUP(C88,'Dummy Table'!$B$3:$D$30,3,FALSE),"")</f>
        <v>Mercedes</v>
      </c>
      <c r="F88" s="50">
        <v>10</v>
      </c>
    </row>
    <row r="89" spans="1:26" x14ac:dyDescent="0.2">
      <c r="B89" s="60">
        <f>$J$7</f>
        <v>6</v>
      </c>
      <c r="C89" s="48" t="s">
        <v>336</v>
      </c>
      <c r="D89" s="49" t="str">
        <f>IF(C89&lt;&gt;"",VLOOKUP(C89,'Dummy Table'!$B$3:$C$30,2,FALSE),"")</f>
        <v>Itália</v>
      </c>
      <c r="E89" s="49" t="str">
        <f>IF(C89&lt;&gt;"",VLOOKUP(C89,'Dummy Table'!$B$3:$D$30,3,FALSE),"")</f>
        <v>Mercedes</v>
      </c>
      <c r="F89" s="50">
        <v>8</v>
      </c>
      <c r="K89" s="71"/>
    </row>
    <row r="90" spans="1:26" x14ac:dyDescent="0.2">
      <c r="B90" s="60">
        <f>$J$8</f>
        <v>7</v>
      </c>
      <c r="C90" s="48" t="s">
        <v>1</v>
      </c>
      <c r="D90" s="49" t="str">
        <f>IF(C90&lt;&gt;"",VLOOKUP(C90,'Dummy Table'!$B$3:$C$30,2,FALSE),"")</f>
        <v>Inglaterra</v>
      </c>
      <c r="E90" s="49" t="str">
        <f>IF(C90&lt;&gt;"",VLOOKUP(C90,'Dummy Table'!$B$3:$D$30,3,FALSE),"")</f>
        <v>Ferrari</v>
      </c>
      <c r="F90" s="50">
        <v>6</v>
      </c>
      <c r="K90" s="71"/>
    </row>
    <row r="91" spans="1:26" x14ac:dyDescent="0.2">
      <c r="B91" s="60">
        <f>$J$9</f>
        <v>8</v>
      </c>
      <c r="C91" s="48" t="s">
        <v>341</v>
      </c>
      <c r="D91" s="49" t="str">
        <f>IF(C91&lt;&gt;"",VLOOKUP(C91,'Dummy Table'!$B$3:$C$30,2,FALSE),"")</f>
        <v>França</v>
      </c>
      <c r="E91" s="49" t="str">
        <f>IF(C91&lt;&gt;"",VLOOKUP(C91,'Dummy Table'!$B$3:$D$30,3,FALSE),"")</f>
        <v>Racing Bulls</v>
      </c>
      <c r="F91" s="50">
        <v>4</v>
      </c>
      <c r="K91" s="71"/>
    </row>
    <row r="92" spans="1:26" s="79" customFormat="1" x14ac:dyDescent="0.2">
      <c r="A92" s="62"/>
      <c r="B92" s="60">
        <f>$J$10</f>
        <v>9</v>
      </c>
      <c r="C92" s="48" t="s">
        <v>315</v>
      </c>
      <c r="D92" s="49" t="str">
        <f>IF(C92&lt;&gt;"",VLOOKUP(C92,'Dummy Table'!$B$3:$C$30,2,FALSE),"")</f>
        <v>Tailandia</v>
      </c>
      <c r="E92" s="49" t="str">
        <f>IF(C92&lt;&gt;"",VLOOKUP(C92,'Dummy Table'!$B$3:$D$30,3,FALSE),"")</f>
        <v>Williams</v>
      </c>
      <c r="F92" s="50">
        <v>2</v>
      </c>
      <c r="G92" s="66"/>
      <c r="H92" s="66"/>
      <c r="I92" s="66"/>
      <c r="J92" s="73"/>
      <c r="K92" s="71"/>
      <c r="L92" s="78"/>
      <c r="M92" s="69"/>
      <c r="N92" s="69"/>
      <c r="O92" s="69"/>
      <c r="P92" s="68"/>
      <c r="Q92" s="68"/>
      <c r="R92" s="68"/>
      <c r="S92" s="78"/>
      <c r="T92" s="78"/>
      <c r="U92" s="78"/>
      <c r="V92" s="78"/>
      <c r="W92" s="78"/>
      <c r="X92" s="78"/>
      <c r="Y92" s="78"/>
      <c r="Z92" s="78"/>
    </row>
    <row r="93" spans="1:26" x14ac:dyDescent="0.2">
      <c r="B93" s="60">
        <f>$J$11</f>
        <v>10</v>
      </c>
      <c r="C93" s="48" t="s">
        <v>338</v>
      </c>
      <c r="D93" s="49" t="str">
        <f>IF(C93&lt;&gt;"",VLOOKUP(C93,'Dummy Table'!$B$3:$C$30,2,FALSE),"")</f>
        <v>Inglaterra</v>
      </c>
      <c r="E93" s="49" t="str">
        <f>IF(C93&lt;&gt;"",VLOOKUP(C93,'Dummy Table'!$B$3:$D$30,3,FALSE),"")</f>
        <v>Haas</v>
      </c>
      <c r="F93" s="50">
        <v>1</v>
      </c>
      <c r="K93" s="71"/>
    </row>
    <row r="94" spans="1:26" x14ac:dyDescent="0.2">
      <c r="B94" s="60">
        <f>$J$12</f>
        <v>11</v>
      </c>
      <c r="C94" s="48" t="s">
        <v>30</v>
      </c>
      <c r="D94" s="49" t="str">
        <f>IF(C94&lt;&gt;"",VLOOKUP(C94,'Dummy Table'!$B$3:$C$30,2,FALSE),"")</f>
        <v>Espanha</v>
      </c>
      <c r="E94" s="49" t="str">
        <f>IF(C94&lt;&gt;"",VLOOKUP(C94,'Dummy Table'!$B$3:$D$30,3,FALSE),"")</f>
        <v>Aston Martin</v>
      </c>
      <c r="F94" s="51"/>
      <c r="K94" s="71"/>
    </row>
    <row r="95" spans="1:26" x14ac:dyDescent="0.2">
      <c r="B95" s="60">
        <f>$J$13</f>
        <v>12</v>
      </c>
      <c r="C95" s="48" t="s">
        <v>339</v>
      </c>
      <c r="D95" s="49" t="str">
        <f>IF(C95&lt;&gt;"",VLOOKUP(C95,'Dummy Table'!$B$3:$C$30,2,FALSE),"")</f>
        <v>Japão</v>
      </c>
      <c r="E95" s="49" t="str">
        <f>IF(C95&lt;&gt;"",VLOOKUP(C95,'Dummy Table'!$B$3:$D$30,3,FALSE),"")</f>
        <v>Red Bull</v>
      </c>
      <c r="F95" s="51"/>
      <c r="K95" s="71"/>
    </row>
    <row r="96" spans="1:26" x14ac:dyDescent="0.2">
      <c r="B96" s="60">
        <f>$J$14</f>
        <v>13</v>
      </c>
      <c r="C96" s="48" t="s">
        <v>312</v>
      </c>
      <c r="D96" s="49" t="str">
        <f>IF(C96&lt;&gt;"",VLOOKUP(C96,'Dummy Table'!$B$3:$C$30,2,FALSE),"")</f>
        <v>França</v>
      </c>
      <c r="E96" s="49" t="str">
        <f>IF(C96&lt;&gt;"",VLOOKUP(C96,'Dummy Table'!$B$3:$D$30,3,FALSE),"")</f>
        <v>Alpine</v>
      </c>
      <c r="F96" s="51"/>
      <c r="G96" s="72"/>
      <c r="H96" s="72"/>
      <c r="I96" s="72"/>
      <c r="K96" s="71"/>
    </row>
    <row r="97" spans="1:26" x14ac:dyDescent="0.2">
      <c r="B97" s="60">
        <f>$J$15</f>
        <v>14</v>
      </c>
      <c r="C97" s="48" t="s">
        <v>343</v>
      </c>
      <c r="D97" s="49" t="str">
        <f>IF(C97&lt;&gt;"",VLOOKUP(C97,'Dummy Table'!$B$3:$C$30,2,FALSE),"")</f>
        <v>Espanha</v>
      </c>
      <c r="E97" s="49" t="str">
        <f>IF(C97&lt;&gt;"",VLOOKUP(C97,'Dummy Table'!$B$3:$D$30,3,FALSE),"")</f>
        <v>Williams</v>
      </c>
      <c r="F97" s="51"/>
      <c r="G97" s="72"/>
      <c r="H97" s="72"/>
      <c r="I97" s="72"/>
      <c r="K97" s="71"/>
      <c r="M97" s="83"/>
      <c r="N97" s="83"/>
      <c r="O97" s="83"/>
      <c r="P97" s="78"/>
      <c r="Q97" s="78"/>
      <c r="R97" s="78"/>
    </row>
    <row r="98" spans="1:26" x14ac:dyDescent="0.2">
      <c r="B98" s="60">
        <f>$J$16</f>
        <v>15</v>
      </c>
      <c r="C98" s="48" t="s">
        <v>337</v>
      </c>
      <c r="D98" s="49" t="str">
        <f>IF(C98&lt;&gt;"",VLOOKUP(C98,'Dummy Table'!$B$3:$C$30,2,FALSE),"")</f>
        <v>Austrália</v>
      </c>
      <c r="E98" s="49" t="str">
        <f>IF(C98&lt;&gt;"",VLOOKUP(C98,'Dummy Table'!$B$3:$D$30,3,FALSE),"")</f>
        <v>Alpine</v>
      </c>
      <c r="F98" s="51"/>
      <c r="G98" s="72"/>
      <c r="H98" s="72"/>
      <c r="I98" s="72"/>
      <c r="K98" s="71"/>
    </row>
    <row r="99" spans="1:26" x14ac:dyDescent="0.2">
      <c r="B99" s="60">
        <f>$J$17</f>
        <v>16</v>
      </c>
      <c r="C99" s="48" t="s">
        <v>257</v>
      </c>
      <c r="D99" s="49" t="str">
        <f>IF(C99&lt;&gt;"",VLOOKUP(C99,'Dummy Table'!$B$3:$C$30,2,FALSE),"")</f>
        <v>Alemanha</v>
      </c>
      <c r="E99" s="49" t="str">
        <f>IF(C99&lt;&gt;"",VLOOKUP(C99,'Dummy Table'!$B$3:$D$30,3,FALSE),"")</f>
        <v>Kick Sauber</v>
      </c>
      <c r="F99" s="51"/>
      <c r="G99" s="72"/>
      <c r="H99" s="72"/>
      <c r="I99" s="72"/>
      <c r="K99" s="71"/>
    </row>
    <row r="100" spans="1:26" x14ac:dyDescent="0.2">
      <c r="B100" s="60">
        <f>$J$18</f>
        <v>17</v>
      </c>
      <c r="C100" s="48" t="s">
        <v>335</v>
      </c>
      <c r="D100" s="49" t="str">
        <f>IF(C100&lt;&gt;"",VLOOKUP(C100,'Dummy Table'!$B$3:$C$30,2,FALSE),"")</f>
        <v>Austrália</v>
      </c>
      <c r="E100" s="49" t="str">
        <f>IF(C100&lt;&gt;"",VLOOKUP(C100,'Dummy Table'!$B$3:$D$30,3,FALSE),"")</f>
        <v>Racing Bulls</v>
      </c>
      <c r="F100" s="51"/>
      <c r="G100" s="72"/>
      <c r="H100" s="72"/>
      <c r="I100" s="72"/>
    </row>
    <row r="101" spans="1:26" x14ac:dyDescent="0.2">
      <c r="B101" s="60">
        <f>$J$19</f>
        <v>18</v>
      </c>
      <c r="C101" s="48" t="s">
        <v>319</v>
      </c>
      <c r="D101" s="49" t="str">
        <f>IF(C101&lt;&gt;"",VLOOKUP(C101,'Dummy Table'!$B$3:$C$30,2,FALSE),"")</f>
        <v>França</v>
      </c>
      <c r="E101" s="49" t="str">
        <f>IF(C101&lt;&gt;"",VLOOKUP(C101,'Dummy Table'!$B$3:$D$30,3,FALSE),"")</f>
        <v>Haas</v>
      </c>
      <c r="F101" s="51"/>
      <c r="G101" s="72"/>
      <c r="H101" s="72"/>
      <c r="I101" s="72"/>
      <c r="K101" s="78"/>
    </row>
    <row r="102" spans="1:26" x14ac:dyDescent="0.2">
      <c r="B102" s="60">
        <f>$J$20</f>
        <v>19</v>
      </c>
      <c r="C102" s="48" t="s">
        <v>344</v>
      </c>
      <c r="D102" s="49" t="str">
        <f>IF(C102&lt;&gt;"",VLOOKUP(C102,'Dummy Table'!$B$3:$C$30,2,FALSE),"")</f>
        <v>Brasil</v>
      </c>
      <c r="E102" s="49" t="str">
        <f>IF(C102&lt;&gt;"",VLOOKUP(C102,'Dummy Table'!$B$3:$D$30,3,FALSE),"")</f>
        <v>Kick Sauber</v>
      </c>
      <c r="F102" s="51"/>
      <c r="G102" s="72"/>
      <c r="H102" s="72"/>
      <c r="I102" s="72"/>
    </row>
    <row r="103" spans="1:26" x14ac:dyDescent="0.2">
      <c r="B103" s="60">
        <f>$J$21</f>
        <v>20</v>
      </c>
      <c r="C103" s="48" t="s">
        <v>311</v>
      </c>
      <c r="D103" s="49" t="str">
        <f>IF(C103&lt;&gt;"",VLOOKUP(C103,'Dummy Table'!$B$3:$C$30,2,FALSE),"")</f>
        <v>Canadá</v>
      </c>
      <c r="E103" s="49" t="str">
        <f>IF(C103&lt;&gt;"",VLOOKUP(C103,'Dummy Table'!$B$3:$D$30,3,FALSE),"")</f>
        <v>Aston Martin</v>
      </c>
      <c r="F103" s="51"/>
      <c r="G103" s="72"/>
      <c r="H103" s="72"/>
      <c r="I103" s="72"/>
      <c r="K103" s="71"/>
    </row>
    <row r="104" spans="1:26" ht="12.75" hidden="1" customHeight="1" x14ac:dyDescent="0.2">
      <c r="B104" s="76">
        <f>$J$22</f>
        <v>21</v>
      </c>
      <c r="C104" s="75"/>
      <c r="D104" s="65" t="str">
        <f>IF(C104&lt;&gt;"",VLOOKUP(C104,'Dummy Table'!$B$3:$C$30,2,FALSE),"")</f>
        <v/>
      </c>
      <c r="E104" s="65" t="str">
        <f>IF(C104&lt;&gt;"",VLOOKUP(C104,'Dummy Table'!$B$3:$D$30,3,FALSE),"")</f>
        <v/>
      </c>
      <c r="F104" s="77"/>
      <c r="G104" s="72"/>
      <c r="H104" s="72"/>
      <c r="I104" s="72"/>
      <c r="K104" s="71"/>
    </row>
    <row r="105" spans="1:26" ht="12.75" hidden="1" customHeight="1" x14ac:dyDescent="0.2">
      <c r="B105" s="76" t="str">
        <f>$J$23</f>
        <v/>
      </c>
      <c r="C105" s="75"/>
      <c r="D105" s="65" t="str">
        <f>IF(C105&lt;&gt;"",VLOOKUP(C105,'Dummy Table'!$B$3:$C$30,2,FALSE),"")</f>
        <v/>
      </c>
      <c r="E105" s="65" t="str">
        <f>IF(C105&lt;&gt;"",VLOOKUP(C105,'Dummy Table'!$B$3:$D$30,3,FALSE),"")</f>
        <v/>
      </c>
      <c r="F105" s="80"/>
      <c r="G105" s="72"/>
      <c r="H105" s="72"/>
      <c r="I105" s="72"/>
      <c r="K105" s="71"/>
    </row>
    <row r="106" spans="1:26" s="79" customFormat="1" ht="12.75" hidden="1" customHeight="1" x14ac:dyDescent="0.2">
      <c r="A106" s="62"/>
      <c r="B106" s="76" t="str">
        <f>IF(F106="",$J$24,"Ret")</f>
        <v/>
      </c>
      <c r="C106" s="75"/>
      <c r="D106" s="65" t="str">
        <f>IF(C106&lt;&gt;"",VLOOKUP(C106,'Dummy Table'!$B$3:$C$30,2,FALSE),"")</f>
        <v/>
      </c>
      <c r="E106" s="65" t="str">
        <f>IF(C106&lt;&gt;"",VLOOKUP(C106,'Dummy Table'!$B$3:$D$30,3,FALSE),"")</f>
        <v/>
      </c>
      <c r="F106" s="81"/>
      <c r="G106" s="72"/>
      <c r="H106" s="72"/>
      <c r="I106" s="72"/>
      <c r="J106" s="73"/>
      <c r="K106" s="71"/>
      <c r="L106" s="78"/>
      <c r="M106" s="69"/>
      <c r="N106" s="69"/>
      <c r="O106" s="69"/>
      <c r="P106" s="68"/>
      <c r="Q106" s="68"/>
      <c r="R106" s="68"/>
      <c r="S106" s="78"/>
      <c r="T106" s="78"/>
      <c r="U106" s="78"/>
      <c r="V106" s="78"/>
      <c r="W106" s="78"/>
      <c r="X106" s="78"/>
      <c r="Y106" s="78"/>
      <c r="Z106" s="78"/>
    </row>
    <row r="107" spans="1:26" ht="12.75" hidden="1" customHeight="1" x14ac:dyDescent="0.2">
      <c r="B107" s="76" t="str">
        <f>IF(F107="",$J$25,"Ret")</f>
        <v/>
      </c>
      <c r="C107" s="75"/>
      <c r="D107" s="65" t="str">
        <f>IF(C107&lt;&gt;"",VLOOKUP(C107,'Dummy Table'!$B$3:$C$30,2,FALSE),"")</f>
        <v/>
      </c>
      <c r="E107" s="65" t="str">
        <f>IF(C107&lt;&gt;"",VLOOKUP(C107,'Dummy Table'!$B$3:$D$30,3,FALSE),"")</f>
        <v/>
      </c>
      <c r="F107" s="81"/>
      <c r="G107" s="72"/>
      <c r="H107" s="72"/>
      <c r="I107" s="72"/>
      <c r="K107" s="71"/>
    </row>
    <row r="108" spans="1:26" x14ac:dyDescent="0.2">
      <c r="B108" s="52" t="s">
        <v>248</v>
      </c>
      <c r="C108" s="53" t="s">
        <v>305</v>
      </c>
      <c r="D108" s="54" t="str">
        <f>IF(C108&lt;&gt;"",VLOOKUP(C108,'Dummy Table'!$B$3:$C$30,2,FALSE),"")</f>
        <v>Holanda</v>
      </c>
      <c r="E108" s="54" t="str">
        <f>IF(C108&lt;&gt;"",VLOOKUP(C108,'Dummy Table'!$B$3:$D$30,3,FALSE),"")</f>
        <v>Red Bull</v>
      </c>
      <c r="F108" s="55"/>
      <c r="H108" s="72"/>
      <c r="K108" s="71"/>
    </row>
    <row r="109" spans="1:26" x14ac:dyDescent="0.2">
      <c r="B109" s="56" t="s">
        <v>238</v>
      </c>
      <c r="C109" s="57" t="s">
        <v>336</v>
      </c>
      <c r="D109" s="54" t="str">
        <f>IF(C109&lt;&gt;"",VLOOKUP(C109,'Dummy Table'!$B$3:$C$30,2,FALSE),"")</f>
        <v>Itália</v>
      </c>
      <c r="E109" s="54" t="str">
        <f>IF(C109&lt;&gt;"",VLOOKUP(C109,'Dummy Table'!$B$3:$D$30,3,FALSE),"")</f>
        <v>Mercedes</v>
      </c>
      <c r="F109" s="58"/>
      <c r="H109" s="66">
        <f>IF(C109="",F109,0)</f>
        <v>0</v>
      </c>
      <c r="K109" s="71"/>
    </row>
    <row r="110" spans="1:26" x14ac:dyDescent="0.2">
      <c r="A110" s="62">
        <v>4</v>
      </c>
      <c r="B110" s="88">
        <f>VLOOKUP($A110,'Calendário atual'!$A$2:$E$30,2,FALSE)</f>
        <v>45760</v>
      </c>
      <c r="C110" s="162" t="str">
        <f>VLOOKUP($A110,'Calendário atual'!$A$2:$E$30,4,FALSE)</f>
        <v>FORMULA 1 GULF AIR BAHRAIN GRAND PRIX 2025</v>
      </c>
      <c r="D110" s="162"/>
      <c r="E110" s="162"/>
      <c r="F110" s="88" t="str">
        <f>VLOOKUP($A110,'Calendário atual'!$A$2:$E$30,3,FALSE)</f>
        <v>Bahrein</v>
      </c>
      <c r="G110" s="72"/>
      <c r="H110" s="72"/>
      <c r="I110" s="72"/>
      <c r="K110" s="71"/>
    </row>
    <row r="111" spans="1:26" x14ac:dyDescent="0.2">
      <c r="B111" s="61" t="s">
        <v>14</v>
      </c>
      <c r="C111" s="61" t="s">
        <v>29</v>
      </c>
      <c r="D111" s="61" t="s">
        <v>16</v>
      </c>
      <c r="E111" s="61" t="s">
        <v>17</v>
      </c>
      <c r="F111" s="61" t="s">
        <v>18</v>
      </c>
      <c r="K111" s="71"/>
      <c r="M111" s="83"/>
      <c r="N111" s="83"/>
      <c r="O111" s="83"/>
      <c r="P111" s="78"/>
      <c r="Q111" s="78"/>
      <c r="R111" s="78"/>
    </row>
    <row r="112" spans="1:26" x14ac:dyDescent="0.2">
      <c r="B112" s="59">
        <f>$J$2</f>
        <v>1</v>
      </c>
      <c r="C112" s="48" t="s">
        <v>334</v>
      </c>
      <c r="D112" s="49" t="str">
        <f>IF(C112&lt;&gt;"",VLOOKUP(C112,'Dummy Table'!$B$3:$C$30,2,FALSE),"")</f>
        <v>Austrália</v>
      </c>
      <c r="E112" s="49" t="str">
        <f>IF(C112&lt;&gt;"",VLOOKUP(C112,'Dummy Table'!$B$3:$D$30,3,FALSE),"")</f>
        <v>McLaren 🏆</v>
      </c>
      <c r="F112" s="50">
        <v>25</v>
      </c>
      <c r="G112" s="66">
        <f>IF(C112="",F112,0)</f>
        <v>0</v>
      </c>
      <c r="H112" s="66">
        <f>IF(C112="",F112,0)</f>
        <v>0</v>
      </c>
      <c r="I112" s="66">
        <f>IF(C112="",1,0)</f>
        <v>0</v>
      </c>
      <c r="K112" s="71"/>
    </row>
    <row r="113" spans="1:26" x14ac:dyDescent="0.2">
      <c r="B113" s="60">
        <f>$J$3</f>
        <v>2</v>
      </c>
      <c r="C113" s="48" t="s">
        <v>394</v>
      </c>
      <c r="D113" s="49" t="str">
        <f>IF(C113&lt;&gt;"",VLOOKUP(C113,'Dummy Table'!$B$3:$C$30,2,FALSE),"")</f>
        <v>Inglaterra</v>
      </c>
      <c r="E113" s="49" t="str">
        <f>IF(C113&lt;&gt;"",VLOOKUP(C113,'Dummy Table'!$B$3:$D$30,3,FALSE),"")</f>
        <v>Mercedes</v>
      </c>
      <c r="F113" s="50">
        <v>18</v>
      </c>
      <c r="H113" s="66">
        <f>IF(C113="",F113,0)</f>
        <v>0</v>
      </c>
      <c r="K113" s="71"/>
    </row>
    <row r="114" spans="1:26" x14ac:dyDescent="0.2">
      <c r="B114" s="60">
        <f>$J$4</f>
        <v>3</v>
      </c>
      <c r="C114" s="48" t="s">
        <v>316</v>
      </c>
      <c r="D114" s="49" t="str">
        <f>IF(C114&lt;&gt;"",VLOOKUP(C114,'Dummy Table'!$B$3:$C$30,2,FALSE),"")</f>
        <v>Inglaterra</v>
      </c>
      <c r="E114" s="49" t="str">
        <f>IF(C114&lt;&gt;"",VLOOKUP(C114,'Dummy Table'!$B$3:$D$30,3,FALSE),"")</f>
        <v>McLaren 🏆</v>
      </c>
      <c r="F114" s="50">
        <v>15</v>
      </c>
    </row>
    <row r="115" spans="1:26" x14ac:dyDescent="0.2">
      <c r="B115" s="60">
        <f>$J$5</f>
        <v>4</v>
      </c>
      <c r="C115" s="48" t="s">
        <v>313</v>
      </c>
      <c r="D115" s="49" t="str">
        <f>IF(C115&lt;&gt;"",VLOOKUP(C115,'Dummy Table'!$B$3:$C$30,2,FALSE),"")</f>
        <v>Mônaco</v>
      </c>
      <c r="E115" s="49" t="str">
        <f>IF(C115&lt;&gt;"",VLOOKUP(C115,'Dummy Table'!$B$3:$D$30,3,FALSE),"")</f>
        <v>Ferrari</v>
      </c>
      <c r="F115" s="50">
        <v>12</v>
      </c>
      <c r="K115" s="78"/>
    </row>
    <row r="116" spans="1:26" x14ac:dyDescent="0.2">
      <c r="B116" s="60">
        <f>$J$6</f>
        <v>5</v>
      </c>
      <c r="C116" s="48" t="s">
        <v>1</v>
      </c>
      <c r="D116" s="49" t="str">
        <f>IF(C116&lt;&gt;"",VLOOKUP(C116,'Dummy Table'!$B$3:$C$30,2,FALSE),"")</f>
        <v>Inglaterra</v>
      </c>
      <c r="E116" s="49" t="str">
        <f>IF(C116&lt;&gt;"",VLOOKUP(C116,'Dummy Table'!$B$3:$D$30,3,FALSE),"")</f>
        <v>Ferrari</v>
      </c>
      <c r="F116" s="50">
        <v>10</v>
      </c>
    </row>
    <row r="117" spans="1:26" x14ac:dyDescent="0.2">
      <c r="B117" s="60">
        <f>$J$7</f>
        <v>6</v>
      </c>
      <c r="C117" s="48" t="s">
        <v>305</v>
      </c>
      <c r="D117" s="49" t="str">
        <f>IF(C117&lt;&gt;"",VLOOKUP(C117,'Dummy Table'!$B$3:$C$30,2,FALSE),"")</f>
        <v>Holanda</v>
      </c>
      <c r="E117" s="49" t="str">
        <f>IF(C117&lt;&gt;"",VLOOKUP(C117,'Dummy Table'!$B$3:$D$30,3,FALSE),"")</f>
        <v>Red Bull</v>
      </c>
      <c r="F117" s="50">
        <v>8</v>
      </c>
      <c r="K117" s="71"/>
    </row>
    <row r="118" spans="1:26" x14ac:dyDescent="0.2">
      <c r="B118" s="60">
        <f>$J$8</f>
        <v>7</v>
      </c>
      <c r="C118" s="48" t="s">
        <v>312</v>
      </c>
      <c r="D118" s="49" t="str">
        <f>IF(C118&lt;&gt;"",VLOOKUP(C118,'Dummy Table'!$B$3:$C$30,2,FALSE),"")</f>
        <v>França</v>
      </c>
      <c r="E118" s="49" t="str">
        <f>IF(C118&lt;&gt;"",VLOOKUP(C118,'Dummy Table'!$B$3:$D$30,3,FALSE),"")</f>
        <v>Alpine</v>
      </c>
      <c r="F118" s="50">
        <v>6</v>
      </c>
      <c r="K118" s="71"/>
    </row>
    <row r="119" spans="1:26" x14ac:dyDescent="0.2">
      <c r="B119" s="60">
        <f>$J$9</f>
        <v>8</v>
      </c>
      <c r="C119" s="48" t="s">
        <v>319</v>
      </c>
      <c r="D119" s="49" t="str">
        <f>IF(C119&lt;&gt;"",VLOOKUP(C119,'Dummy Table'!$B$3:$C$30,2,FALSE),"")</f>
        <v>França</v>
      </c>
      <c r="E119" s="49" t="str">
        <f>IF(C119&lt;&gt;"",VLOOKUP(C119,'Dummy Table'!$B$3:$D$30,3,FALSE),"")</f>
        <v>Haas</v>
      </c>
      <c r="F119" s="50">
        <v>4</v>
      </c>
      <c r="K119" s="71"/>
    </row>
    <row r="120" spans="1:26" s="79" customFormat="1" x14ac:dyDescent="0.2">
      <c r="A120" s="62"/>
      <c r="B120" s="60">
        <f>$J$10</f>
        <v>9</v>
      </c>
      <c r="C120" s="48" t="s">
        <v>339</v>
      </c>
      <c r="D120" s="49" t="str">
        <f>IF(C120&lt;&gt;"",VLOOKUP(C120,'Dummy Table'!$B$3:$C$30,2,FALSE),"")</f>
        <v>Japão</v>
      </c>
      <c r="E120" s="49" t="str">
        <f>IF(C120&lt;&gt;"",VLOOKUP(C120,'Dummy Table'!$B$3:$D$30,3,FALSE),"")</f>
        <v>Red Bull</v>
      </c>
      <c r="F120" s="50">
        <v>2</v>
      </c>
      <c r="G120" s="66"/>
      <c r="H120" s="66"/>
      <c r="I120" s="66"/>
      <c r="J120" s="73"/>
      <c r="K120" s="71"/>
      <c r="L120" s="78"/>
      <c r="M120" s="69"/>
      <c r="N120" s="69"/>
      <c r="O120" s="69"/>
      <c r="P120" s="68"/>
      <c r="Q120" s="68"/>
      <c r="R120" s="68"/>
      <c r="S120" s="78"/>
      <c r="T120" s="78"/>
      <c r="U120" s="78"/>
      <c r="V120" s="78"/>
      <c r="W120" s="78"/>
      <c r="X120" s="78"/>
      <c r="Y120" s="78"/>
      <c r="Z120" s="78"/>
    </row>
    <row r="121" spans="1:26" x14ac:dyDescent="0.2">
      <c r="B121" s="60">
        <f>$J$11</f>
        <v>10</v>
      </c>
      <c r="C121" s="48" t="s">
        <v>338</v>
      </c>
      <c r="D121" s="49" t="str">
        <f>IF(C121&lt;&gt;"",VLOOKUP(C121,'Dummy Table'!$B$3:$C$30,2,FALSE),"")</f>
        <v>Inglaterra</v>
      </c>
      <c r="E121" s="49" t="str">
        <f>IF(C121&lt;&gt;"",VLOOKUP(C121,'Dummy Table'!$B$3:$D$30,3,FALSE),"")</f>
        <v>Haas</v>
      </c>
      <c r="F121" s="50">
        <v>1</v>
      </c>
      <c r="K121" s="71"/>
    </row>
    <row r="122" spans="1:26" x14ac:dyDescent="0.2">
      <c r="B122" s="60">
        <f>$J$12</f>
        <v>11</v>
      </c>
      <c r="C122" s="48" t="s">
        <v>336</v>
      </c>
      <c r="D122" s="49" t="str">
        <f>IF(C122&lt;&gt;"",VLOOKUP(C122,'Dummy Table'!$B$3:$C$30,2,FALSE),"")</f>
        <v>Itália</v>
      </c>
      <c r="E122" s="49" t="str">
        <f>IF(C122&lt;&gt;"",VLOOKUP(C122,'Dummy Table'!$B$3:$D$30,3,FALSE),"")</f>
        <v>Mercedes</v>
      </c>
      <c r="F122" s="51"/>
      <c r="K122" s="71"/>
    </row>
    <row r="123" spans="1:26" x14ac:dyDescent="0.2">
      <c r="B123" s="60">
        <f>$J$13</f>
        <v>12</v>
      </c>
      <c r="C123" s="48" t="s">
        <v>315</v>
      </c>
      <c r="D123" s="49" t="str">
        <f>IF(C123&lt;&gt;"",VLOOKUP(C123,'Dummy Table'!$B$3:$C$30,2,FALSE),"")</f>
        <v>Tailandia</v>
      </c>
      <c r="E123" s="49" t="str">
        <f>IF(C123&lt;&gt;"",VLOOKUP(C123,'Dummy Table'!$B$3:$D$30,3,FALSE),"")</f>
        <v>Williams</v>
      </c>
      <c r="F123" s="51"/>
      <c r="K123" s="71"/>
    </row>
    <row r="124" spans="1:26" x14ac:dyDescent="0.2">
      <c r="B124" s="60">
        <f>$J$14</f>
        <v>13</v>
      </c>
      <c r="C124" s="48" t="s">
        <v>341</v>
      </c>
      <c r="D124" s="49" t="str">
        <f>IF(C124&lt;&gt;"",VLOOKUP(C124,'Dummy Table'!$B$3:$C$30,2,FALSE),"")</f>
        <v>França</v>
      </c>
      <c r="E124" s="49" t="str">
        <f>IF(C124&lt;&gt;"",VLOOKUP(C124,'Dummy Table'!$B$3:$D$30,3,FALSE),"")</f>
        <v>Racing Bulls</v>
      </c>
      <c r="F124" s="51"/>
      <c r="G124" s="72"/>
      <c r="H124" s="72"/>
      <c r="I124" s="72"/>
      <c r="K124" s="71"/>
    </row>
    <row r="125" spans="1:26" x14ac:dyDescent="0.2">
      <c r="B125" s="60">
        <f>$J$15</f>
        <v>14</v>
      </c>
      <c r="C125" s="48" t="s">
        <v>337</v>
      </c>
      <c r="D125" s="49" t="str">
        <f>IF(C125&lt;&gt;"",VLOOKUP(C125,'Dummy Table'!$B$3:$C$30,2,FALSE),"")</f>
        <v>Austrália</v>
      </c>
      <c r="E125" s="49" t="str">
        <f>IF(C125&lt;&gt;"",VLOOKUP(C125,'Dummy Table'!$B$3:$D$30,3,FALSE),"")</f>
        <v>Alpine</v>
      </c>
      <c r="F125" s="51"/>
      <c r="G125" s="72"/>
      <c r="H125" s="72"/>
      <c r="I125" s="72"/>
      <c r="K125" s="71"/>
      <c r="M125" s="83"/>
      <c r="N125" s="83"/>
      <c r="O125" s="83"/>
      <c r="P125" s="78"/>
      <c r="Q125" s="78"/>
      <c r="R125" s="78"/>
    </row>
    <row r="126" spans="1:26" x14ac:dyDescent="0.2">
      <c r="B126" s="60">
        <f>$J$16</f>
        <v>15</v>
      </c>
      <c r="C126" s="48" t="s">
        <v>30</v>
      </c>
      <c r="D126" s="49" t="str">
        <f>IF(C126&lt;&gt;"",VLOOKUP(C126,'Dummy Table'!$B$3:$C$30,2,FALSE),"")</f>
        <v>Espanha</v>
      </c>
      <c r="E126" s="49" t="str">
        <f>IF(C126&lt;&gt;"",VLOOKUP(C126,'Dummy Table'!$B$3:$D$30,3,FALSE),"")</f>
        <v>Aston Martin</v>
      </c>
      <c r="F126" s="51"/>
      <c r="G126" s="72"/>
      <c r="H126" s="72"/>
      <c r="I126" s="72"/>
      <c r="K126" s="71"/>
    </row>
    <row r="127" spans="1:26" x14ac:dyDescent="0.2">
      <c r="B127" s="60">
        <f>$J$17</f>
        <v>16</v>
      </c>
      <c r="C127" s="48" t="s">
        <v>335</v>
      </c>
      <c r="D127" s="49" t="str">
        <f>IF(C127&lt;&gt;"",VLOOKUP(C127,'Dummy Table'!$B$3:$C$30,2,FALSE),"")</f>
        <v>Austrália</v>
      </c>
      <c r="E127" s="49" t="str">
        <f>IF(C127&lt;&gt;"",VLOOKUP(C127,'Dummy Table'!$B$3:$D$30,3,FALSE),"")</f>
        <v>Racing Bulls</v>
      </c>
      <c r="F127" s="51"/>
      <c r="G127" s="72"/>
      <c r="H127" s="72"/>
      <c r="I127" s="72"/>
      <c r="K127" s="71"/>
    </row>
    <row r="128" spans="1:26" x14ac:dyDescent="0.2">
      <c r="B128" s="60">
        <f>$J$18</f>
        <v>17</v>
      </c>
      <c r="C128" s="48" t="s">
        <v>311</v>
      </c>
      <c r="D128" s="49" t="str">
        <f>IF(C128&lt;&gt;"",VLOOKUP(C128,'Dummy Table'!$B$3:$C$30,2,FALSE),"")</f>
        <v>Canadá</v>
      </c>
      <c r="E128" s="49" t="str">
        <f>IF(C128&lt;&gt;"",VLOOKUP(C128,'Dummy Table'!$B$3:$D$30,3,FALSE),"")</f>
        <v>Aston Martin</v>
      </c>
      <c r="F128" s="51"/>
      <c r="G128" s="72"/>
      <c r="H128" s="72"/>
      <c r="I128" s="72"/>
    </row>
    <row r="129" spans="1:26" x14ac:dyDescent="0.2">
      <c r="B129" s="60">
        <f>$J$19</f>
        <v>18</v>
      </c>
      <c r="C129" s="48" t="s">
        <v>344</v>
      </c>
      <c r="D129" s="49" t="str">
        <f>IF(C129&lt;&gt;"",VLOOKUP(C129,'Dummy Table'!$B$3:$C$30,2,FALSE),"")</f>
        <v>Brasil</v>
      </c>
      <c r="E129" s="49" t="str">
        <f>IF(C129&lt;&gt;"",VLOOKUP(C129,'Dummy Table'!$B$3:$D$30,3,FALSE),"")</f>
        <v>Kick Sauber</v>
      </c>
      <c r="F129" s="51"/>
      <c r="G129" s="72"/>
      <c r="H129" s="72"/>
      <c r="I129" s="72"/>
      <c r="K129" s="78"/>
    </row>
    <row r="130" spans="1:26" x14ac:dyDescent="0.2">
      <c r="B130" s="60">
        <f>$J$20</f>
        <v>19</v>
      </c>
      <c r="C130" s="48" t="s">
        <v>343</v>
      </c>
      <c r="D130" s="49" t="str">
        <f>IF(C130&lt;&gt;"",VLOOKUP(C130,'Dummy Table'!$B$3:$C$30,2,FALSE),"")</f>
        <v>Espanha</v>
      </c>
      <c r="E130" s="49" t="str">
        <f>IF(C130&lt;&gt;"",VLOOKUP(C130,'Dummy Table'!$B$3:$D$30,3,FALSE),"")</f>
        <v>Williams</v>
      </c>
      <c r="F130" s="51" t="s">
        <v>320</v>
      </c>
      <c r="G130" s="72"/>
      <c r="H130" s="72"/>
      <c r="I130" s="72"/>
    </row>
    <row r="131" spans="1:26" x14ac:dyDescent="0.2">
      <c r="B131" s="60">
        <f>$J$21</f>
        <v>20</v>
      </c>
      <c r="C131" s="48" t="s">
        <v>257</v>
      </c>
      <c r="D131" s="49" t="str">
        <f>IF(C131&lt;&gt;"",VLOOKUP(C131,'Dummy Table'!$B$3:$C$30,2,FALSE),"")</f>
        <v>Alemanha</v>
      </c>
      <c r="E131" s="49" t="str">
        <f>IF(C131&lt;&gt;"",VLOOKUP(C131,'Dummy Table'!$B$3:$D$30,3,FALSE),"")</f>
        <v>Kick Sauber</v>
      </c>
      <c r="F131" s="51" t="s">
        <v>398</v>
      </c>
      <c r="G131" s="72"/>
      <c r="H131" s="72"/>
      <c r="I131" s="72"/>
      <c r="K131" s="71"/>
    </row>
    <row r="132" spans="1:26" ht="12.75" hidden="1" customHeight="1" x14ac:dyDescent="0.2">
      <c r="B132" s="76">
        <f>$J$22</f>
        <v>21</v>
      </c>
      <c r="C132" s="75"/>
      <c r="D132" s="65" t="str">
        <f>IF(C132&lt;&gt;"",VLOOKUP(C132,'Dummy Table'!$B$3:$C$30,2,FALSE),"")</f>
        <v/>
      </c>
      <c r="E132" s="65" t="str">
        <f>IF(C132&lt;&gt;"",VLOOKUP(C132,'Dummy Table'!$B$3:$D$30,3,FALSE),"")</f>
        <v/>
      </c>
      <c r="F132" s="77"/>
      <c r="G132" s="72"/>
      <c r="H132" s="72"/>
      <c r="I132" s="72"/>
      <c r="K132" s="71"/>
    </row>
    <row r="133" spans="1:26" ht="12.75" hidden="1" customHeight="1" x14ac:dyDescent="0.2">
      <c r="B133" s="76" t="str">
        <f>$J$23</f>
        <v/>
      </c>
      <c r="C133" s="75"/>
      <c r="D133" s="65" t="str">
        <f>IF(C133&lt;&gt;"",VLOOKUP(C133,'Dummy Table'!$B$3:$C$30,2,FALSE),"")</f>
        <v/>
      </c>
      <c r="E133" s="65" t="str">
        <f>IF(C133&lt;&gt;"",VLOOKUP(C133,'Dummy Table'!$B$3:$D$30,3,FALSE),"")</f>
        <v/>
      </c>
      <c r="F133" s="80"/>
      <c r="G133" s="72"/>
      <c r="H133" s="72"/>
      <c r="I133" s="72"/>
      <c r="K133" s="71"/>
    </row>
    <row r="134" spans="1:26" s="79" customFormat="1" ht="12.75" hidden="1" customHeight="1" x14ac:dyDescent="0.2">
      <c r="A134" s="62"/>
      <c r="B134" s="76" t="str">
        <f>IF(F134="",$J$24,"Ret")</f>
        <v/>
      </c>
      <c r="C134" s="75"/>
      <c r="D134" s="65" t="str">
        <f>IF(C134&lt;&gt;"",VLOOKUP(C134,'Dummy Table'!$B$3:$C$30,2,FALSE),"")</f>
        <v/>
      </c>
      <c r="E134" s="65" t="str">
        <f>IF(C134&lt;&gt;"",VLOOKUP(C134,'Dummy Table'!$B$3:$D$30,3,FALSE),"")</f>
        <v/>
      </c>
      <c r="F134" s="81"/>
      <c r="G134" s="72"/>
      <c r="H134" s="72"/>
      <c r="I134" s="72"/>
      <c r="J134" s="73"/>
      <c r="K134" s="71"/>
      <c r="L134" s="78"/>
      <c r="M134" s="69"/>
      <c r="N134" s="69"/>
      <c r="O134" s="69"/>
      <c r="P134" s="68"/>
      <c r="Q134" s="68"/>
      <c r="R134" s="68"/>
      <c r="S134" s="78"/>
      <c r="T134" s="78"/>
      <c r="U134" s="78"/>
      <c r="V134" s="78"/>
      <c r="W134" s="78"/>
      <c r="X134" s="78"/>
      <c r="Y134" s="78"/>
      <c r="Z134" s="78"/>
    </row>
    <row r="135" spans="1:26" ht="12.75" hidden="1" customHeight="1" x14ac:dyDescent="0.2">
      <c r="B135" s="76" t="str">
        <f>IF(F135="",$J$25,"Ret")</f>
        <v/>
      </c>
      <c r="C135" s="75"/>
      <c r="D135" s="65" t="str">
        <f>IF(C135&lt;&gt;"",VLOOKUP(C135,'Dummy Table'!$B$3:$C$30,2,FALSE),"")</f>
        <v/>
      </c>
      <c r="E135" s="65" t="str">
        <f>IF(C135&lt;&gt;"",VLOOKUP(C135,'Dummy Table'!$B$3:$D$30,3,FALSE),"")</f>
        <v/>
      </c>
      <c r="F135" s="81"/>
      <c r="G135" s="72"/>
      <c r="H135" s="72"/>
      <c r="I135" s="72"/>
      <c r="K135" s="71"/>
    </row>
    <row r="136" spans="1:26" x14ac:dyDescent="0.2">
      <c r="B136" s="52" t="s">
        <v>248</v>
      </c>
      <c r="C136" s="53" t="s">
        <v>334</v>
      </c>
      <c r="D136" s="54" t="str">
        <f>IF(C136&lt;&gt;"",VLOOKUP(C136,'Dummy Table'!$B$3:$C$30,2,FALSE),"")</f>
        <v>Austrália</v>
      </c>
      <c r="E136" s="54" t="str">
        <f>IF(C136&lt;&gt;"",VLOOKUP(C136,'Dummy Table'!$B$3:$D$30,3,FALSE),"")</f>
        <v>McLaren 🏆</v>
      </c>
      <c r="F136" s="55"/>
      <c r="H136" s="72"/>
      <c r="K136" s="71"/>
    </row>
    <row r="137" spans="1:26" x14ac:dyDescent="0.2">
      <c r="B137" s="56" t="s">
        <v>238</v>
      </c>
      <c r="C137" s="57" t="s">
        <v>334</v>
      </c>
      <c r="D137" s="54" t="str">
        <f>IF(C137&lt;&gt;"",VLOOKUP(C137,'Dummy Table'!$B$3:$C$30,2,FALSE),"")</f>
        <v>Austrália</v>
      </c>
      <c r="E137" s="54" t="str">
        <f>IF(C137&lt;&gt;"",VLOOKUP(C137,'Dummy Table'!$B$3:$D$30,3,FALSE),"")</f>
        <v>McLaren 🏆</v>
      </c>
      <c r="F137" s="58"/>
      <c r="H137" s="66">
        <f>IF(C137="",F137,0)</f>
        <v>0</v>
      </c>
      <c r="K137" s="71"/>
    </row>
    <row r="138" spans="1:26" x14ac:dyDescent="0.2">
      <c r="A138" s="62">
        <v>5</v>
      </c>
      <c r="B138" s="88">
        <f>VLOOKUP(A138,'Calendário atual'!$A$2:$E$30,2,FALSE)</f>
        <v>45767</v>
      </c>
      <c r="C138" s="162" t="str">
        <f>VLOOKUP(A138,'Calendário atual'!$A$2:$E$30,4,FALSE)</f>
        <v>FORMULA 1 STC SAUDI ARABIAN GRAND PRIX 2025</v>
      </c>
      <c r="D138" s="162"/>
      <c r="E138" s="162"/>
      <c r="F138" s="88" t="str">
        <f>VLOOKUP(A138,'Calendário atual'!$A$2:$E$30,3,FALSE)</f>
        <v>Arabia Saudita</v>
      </c>
      <c r="G138" s="72"/>
      <c r="H138" s="72"/>
      <c r="I138" s="72"/>
      <c r="K138" s="71"/>
    </row>
    <row r="139" spans="1:26" x14ac:dyDescent="0.2">
      <c r="B139" s="61" t="s">
        <v>14</v>
      </c>
      <c r="C139" s="61" t="s">
        <v>29</v>
      </c>
      <c r="D139" s="61" t="s">
        <v>16</v>
      </c>
      <c r="E139" s="61" t="s">
        <v>17</v>
      </c>
      <c r="F139" s="61" t="s">
        <v>18</v>
      </c>
      <c r="K139" s="71"/>
      <c r="M139" s="83"/>
      <c r="N139" s="83"/>
      <c r="O139" s="83"/>
      <c r="P139" s="78"/>
      <c r="Q139" s="78"/>
      <c r="R139" s="78"/>
    </row>
    <row r="140" spans="1:26" x14ac:dyDescent="0.2">
      <c r="B140" s="59">
        <f>$J$2</f>
        <v>1</v>
      </c>
      <c r="C140" s="48" t="s">
        <v>334</v>
      </c>
      <c r="D140" s="49" t="str">
        <f>IF(C140&lt;&gt;"",VLOOKUP(C140,'Dummy Table'!$B$3:$C$30,2,FALSE),"")</f>
        <v>Austrália</v>
      </c>
      <c r="E140" s="49" t="str">
        <f>IF(C140&lt;&gt;"",VLOOKUP(C140,'Dummy Table'!$B$3:$D$30,3,FALSE),"")</f>
        <v>McLaren 🏆</v>
      </c>
      <c r="F140" s="50">
        <v>25</v>
      </c>
      <c r="G140" s="66">
        <f>IF(C140="",F140,0)</f>
        <v>0</v>
      </c>
      <c r="H140" s="66">
        <f>IF(C140="",F140,0)</f>
        <v>0</v>
      </c>
      <c r="I140" s="66">
        <f>IF(C140="",1,0)</f>
        <v>0</v>
      </c>
      <c r="K140" s="71"/>
    </row>
    <row r="141" spans="1:26" x14ac:dyDescent="0.2">
      <c r="B141" s="60">
        <f>$J$3</f>
        <v>2</v>
      </c>
      <c r="C141" s="48" t="s">
        <v>305</v>
      </c>
      <c r="D141" s="49" t="str">
        <f>IF(C141&lt;&gt;"",VLOOKUP(C141,'Dummy Table'!$B$3:$C$30,2,FALSE),"")</f>
        <v>Holanda</v>
      </c>
      <c r="E141" s="49" t="str">
        <f>IF(C141&lt;&gt;"",VLOOKUP(C141,'Dummy Table'!$B$3:$D$30,3,FALSE),"")</f>
        <v>Red Bull</v>
      </c>
      <c r="F141" s="50">
        <v>18</v>
      </c>
      <c r="H141" s="66">
        <f>IF(C141="",F141,0)</f>
        <v>0</v>
      </c>
      <c r="K141" s="71"/>
    </row>
    <row r="142" spans="1:26" x14ac:dyDescent="0.2">
      <c r="B142" s="60">
        <f>$J$4</f>
        <v>3</v>
      </c>
      <c r="C142" s="48" t="s">
        <v>313</v>
      </c>
      <c r="D142" s="49" t="str">
        <f>IF(C142&lt;&gt;"",VLOOKUP(C142,'Dummy Table'!$B$3:$C$30,2,FALSE),"")</f>
        <v>Mônaco</v>
      </c>
      <c r="E142" s="49" t="str">
        <f>IF(C142&lt;&gt;"",VLOOKUP(C142,'Dummy Table'!$B$3:$D$30,3,FALSE),"")</f>
        <v>Ferrari</v>
      </c>
      <c r="F142" s="50">
        <v>15</v>
      </c>
    </row>
    <row r="143" spans="1:26" x14ac:dyDescent="0.2">
      <c r="B143" s="60">
        <f>$J$5</f>
        <v>4</v>
      </c>
      <c r="C143" s="48" t="s">
        <v>316</v>
      </c>
      <c r="D143" s="49" t="str">
        <f>IF(C143&lt;&gt;"",VLOOKUP(C143,'Dummy Table'!$B$3:$C$30,2,FALSE),"")</f>
        <v>Inglaterra</v>
      </c>
      <c r="E143" s="49" t="str">
        <f>IF(C143&lt;&gt;"",VLOOKUP(C143,'Dummy Table'!$B$3:$D$30,3,FALSE),"")</f>
        <v>McLaren 🏆</v>
      </c>
      <c r="F143" s="50">
        <v>12</v>
      </c>
      <c r="K143" s="78"/>
    </row>
    <row r="144" spans="1:26" x14ac:dyDescent="0.2">
      <c r="B144" s="60">
        <f>$J$6</f>
        <v>5</v>
      </c>
      <c r="C144" s="48" t="s">
        <v>394</v>
      </c>
      <c r="D144" s="49" t="str">
        <f>IF(C144&lt;&gt;"",VLOOKUP(C144,'Dummy Table'!$B$3:$C$30,2,FALSE),"")</f>
        <v>Inglaterra</v>
      </c>
      <c r="E144" s="49" t="str">
        <f>IF(C144&lt;&gt;"",VLOOKUP(C144,'Dummy Table'!$B$3:$D$30,3,FALSE),"")</f>
        <v>Mercedes</v>
      </c>
      <c r="F144" s="50">
        <v>10</v>
      </c>
    </row>
    <row r="145" spans="1:26" x14ac:dyDescent="0.2">
      <c r="B145" s="60">
        <f>$J$7</f>
        <v>6</v>
      </c>
      <c r="C145" s="48" t="s">
        <v>336</v>
      </c>
      <c r="D145" s="49" t="str">
        <f>IF(C145&lt;&gt;"",VLOOKUP(C145,'Dummy Table'!$B$3:$C$30,2,FALSE),"")</f>
        <v>Itália</v>
      </c>
      <c r="E145" s="49" t="str">
        <f>IF(C145&lt;&gt;"",VLOOKUP(C145,'Dummy Table'!$B$3:$D$30,3,FALSE),"")</f>
        <v>Mercedes</v>
      </c>
      <c r="F145" s="50">
        <v>8</v>
      </c>
      <c r="K145" s="71"/>
    </row>
    <row r="146" spans="1:26" x14ac:dyDescent="0.2">
      <c r="B146" s="60">
        <f>$J$8</f>
        <v>7</v>
      </c>
      <c r="C146" s="48" t="s">
        <v>1</v>
      </c>
      <c r="D146" s="49" t="str">
        <f>IF(C146&lt;&gt;"",VLOOKUP(C146,'Dummy Table'!$B$3:$C$30,2,FALSE),"")</f>
        <v>Inglaterra</v>
      </c>
      <c r="E146" s="49" t="str">
        <f>IF(C146&lt;&gt;"",VLOOKUP(C146,'Dummy Table'!$B$3:$D$30,3,FALSE),"")</f>
        <v>Ferrari</v>
      </c>
      <c r="F146" s="50">
        <v>6</v>
      </c>
      <c r="K146" s="71"/>
    </row>
    <row r="147" spans="1:26" x14ac:dyDescent="0.2">
      <c r="B147" s="60">
        <f>$J$9</f>
        <v>8</v>
      </c>
      <c r="C147" s="48" t="s">
        <v>343</v>
      </c>
      <c r="D147" s="49" t="str">
        <f>IF(C147&lt;&gt;"",VLOOKUP(C147,'Dummy Table'!$B$3:$C$30,2,FALSE),"")</f>
        <v>Espanha</v>
      </c>
      <c r="E147" s="49" t="str">
        <f>IF(C147&lt;&gt;"",VLOOKUP(C147,'Dummy Table'!$B$3:$D$30,3,FALSE),"")</f>
        <v>Williams</v>
      </c>
      <c r="F147" s="50">
        <v>4</v>
      </c>
      <c r="K147" s="71"/>
    </row>
    <row r="148" spans="1:26" s="79" customFormat="1" x14ac:dyDescent="0.2">
      <c r="A148" s="62"/>
      <c r="B148" s="60">
        <f>$J$10</f>
        <v>9</v>
      </c>
      <c r="C148" s="48" t="s">
        <v>315</v>
      </c>
      <c r="D148" s="49" t="str">
        <f>IF(C148&lt;&gt;"",VLOOKUP(C148,'Dummy Table'!$B$3:$C$30,2,FALSE),"")</f>
        <v>Tailandia</v>
      </c>
      <c r="E148" s="49" t="str">
        <f>IF(C148&lt;&gt;"",VLOOKUP(C148,'Dummy Table'!$B$3:$D$30,3,FALSE),"")</f>
        <v>Williams</v>
      </c>
      <c r="F148" s="50">
        <v>2</v>
      </c>
      <c r="G148" s="66"/>
      <c r="H148" s="66"/>
      <c r="I148" s="66"/>
      <c r="J148" s="73"/>
      <c r="K148" s="71"/>
      <c r="L148" s="78"/>
      <c r="M148" s="69"/>
      <c r="N148" s="69"/>
      <c r="O148" s="69"/>
      <c r="P148" s="68"/>
      <c r="Q148" s="68"/>
      <c r="R148" s="68"/>
      <c r="S148" s="78"/>
      <c r="T148" s="78"/>
      <c r="U148" s="78"/>
      <c r="V148" s="78"/>
      <c r="W148" s="78"/>
      <c r="X148" s="78"/>
      <c r="Y148" s="78"/>
      <c r="Z148" s="78"/>
    </row>
    <row r="149" spans="1:26" x14ac:dyDescent="0.2">
      <c r="B149" s="60">
        <f>$J$11</f>
        <v>10</v>
      </c>
      <c r="C149" s="48" t="s">
        <v>341</v>
      </c>
      <c r="D149" s="49" t="str">
        <f>IF(C149&lt;&gt;"",VLOOKUP(C149,'Dummy Table'!$B$3:$C$30,2,FALSE),"")</f>
        <v>França</v>
      </c>
      <c r="E149" s="49" t="str">
        <f>IF(C149&lt;&gt;"",VLOOKUP(C149,'Dummy Table'!$B$3:$D$30,3,FALSE),"")</f>
        <v>Racing Bulls</v>
      </c>
      <c r="F149" s="50">
        <v>1</v>
      </c>
      <c r="K149" s="71"/>
    </row>
    <row r="150" spans="1:26" x14ac:dyDescent="0.2">
      <c r="B150" s="60">
        <f>$J$12</f>
        <v>11</v>
      </c>
      <c r="C150" s="48" t="s">
        <v>30</v>
      </c>
      <c r="D150" s="49" t="str">
        <f>IF(C150&lt;&gt;"",VLOOKUP(C150,'Dummy Table'!$B$3:$C$30,2,FALSE),"")</f>
        <v>Espanha</v>
      </c>
      <c r="E150" s="49" t="str">
        <f>IF(C150&lt;&gt;"",VLOOKUP(C150,'Dummy Table'!$B$3:$D$30,3,FALSE),"")</f>
        <v>Aston Martin</v>
      </c>
      <c r="F150" s="51"/>
      <c r="K150" s="71"/>
    </row>
    <row r="151" spans="1:26" x14ac:dyDescent="0.2">
      <c r="B151" s="60">
        <f>$J$13</f>
        <v>12</v>
      </c>
      <c r="C151" s="48" t="s">
        <v>335</v>
      </c>
      <c r="D151" s="49" t="str">
        <f>IF(C151&lt;&gt;"",VLOOKUP(C151,'Dummy Table'!$B$3:$C$30,2,FALSE),"")</f>
        <v>Austrália</v>
      </c>
      <c r="E151" s="49" t="str">
        <f>IF(C151&lt;&gt;"",VLOOKUP(C151,'Dummy Table'!$B$3:$D$30,3,FALSE),"")</f>
        <v>Racing Bulls</v>
      </c>
      <c r="F151" s="51"/>
      <c r="K151" s="71"/>
    </row>
    <row r="152" spans="1:26" x14ac:dyDescent="0.2">
      <c r="B152" s="60">
        <f>$J$14</f>
        <v>13</v>
      </c>
      <c r="C152" s="48" t="s">
        <v>338</v>
      </c>
      <c r="D152" s="49" t="str">
        <f>IF(C152&lt;&gt;"",VLOOKUP(C152,'Dummy Table'!$B$3:$C$30,2,FALSE),"")</f>
        <v>Inglaterra</v>
      </c>
      <c r="E152" s="49" t="str">
        <f>IF(C152&lt;&gt;"",VLOOKUP(C152,'Dummy Table'!$B$3:$D$30,3,FALSE),"")</f>
        <v>Haas</v>
      </c>
      <c r="F152" s="51"/>
      <c r="G152" s="72"/>
      <c r="H152" s="72"/>
      <c r="I152" s="72"/>
      <c r="K152" s="71"/>
    </row>
    <row r="153" spans="1:26" x14ac:dyDescent="0.2">
      <c r="B153" s="60">
        <f>$J$15</f>
        <v>14</v>
      </c>
      <c r="C153" s="48" t="s">
        <v>319</v>
      </c>
      <c r="D153" s="49" t="str">
        <f>IF(C153&lt;&gt;"",VLOOKUP(C153,'Dummy Table'!$B$3:$C$30,2,FALSE),"")</f>
        <v>França</v>
      </c>
      <c r="E153" s="49" t="str">
        <f>IF(C153&lt;&gt;"",VLOOKUP(C153,'Dummy Table'!$B$3:$D$30,3,FALSE),"")</f>
        <v>Haas</v>
      </c>
      <c r="F153" s="51"/>
      <c r="G153" s="72"/>
      <c r="H153" s="72"/>
      <c r="I153" s="72"/>
      <c r="K153" s="71"/>
      <c r="M153" s="83"/>
      <c r="N153" s="83"/>
      <c r="O153" s="83"/>
      <c r="P153" s="78"/>
      <c r="Q153" s="78"/>
      <c r="R153" s="78"/>
    </row>
    <row r="154" spans="1:26" x14ac:dyDescent="0.2">
      <c r="B154" s="60">
        <f>$J$16</f>
        <v>15</v>
      </c>
      <c r="C154" s="48" t="s">
        <v>257</v>
      </c>
      <c r="D154" s="49" t="str">
        <f>IF(C154&lt;&gt;"",VLOOKUP(C154,'Dummy Table'!$B$3:$C$30,2,FALSE),"")</f>
        <v>Alemanha</v>
      </c>
      <c r="E154" s="49" t="str">
        <f>IF(C154&lt;&gt;"",VLOOKUP(C154,'Dummy Table'!$B$3:$D$30,3,FALSE),"")</f>
        <v>Kick Sauber</v>
      </c>
      <c r="F154" s="51"/>
      <c r="G154" s="72"/>
      <c r="H154" s="72"/>
      <c r="I154" s="72"/>
      <c r="K154" s="71"/>
    </row>
    <row r="155" spans="1:26" x14ac:dyDescent="0.2">
      <c r="B155" s="60">
        <f>$J$17</f>
        <v>16</v>
      </c>
      <c r="C155" s="48" t="s">
        <v>311</v>
      </c>
      <c r="D155" s="49" t="str">
        <f>IF(C155&lt;&gt;"",VLOOKUP(C155,'Dummy Table'!$B$3:$C$30,2,FALSE),"")</f>
        <v>Canadá</v>
      </c>
      <c r="E155" s="49" t="str">
        <f>IF(C155&lt;&gt;"",VLOOKUP(C155,'Dummy Table'!$B$3:$D$30,3,FALSE),"")</f>
        <v>Aston Martin</v>
      </c>
      <c r="F155" s="51"/>
      <c r="G155" s="72"/>
      <c r="H155" s="72"/>
      <c r="I155" s="72"/>
      <c r="K155" s="71"/>
    </row>
    <row r="156" spans="1:26" x14ac:dyDescent="0.2">
      <c r="B156" s="60">
        <f>$J$18</f>
        <v>17</v>
      </c>
      <c r="C156" s="48" t="s">
        <v>337</v>
      </c>
      <c r="D156" s="49" t="str">
        <f>IF(C156&lt;&gt;"",VLOOKUP(C156,'Dummy Table'!$B$3:$C$30,2,FALSE),"")</f>
        <v>Austrália</v>
      </c>
      <c r="E156" s="49" t="str">
        <f>IF(C156&lt;&gt;"",VLOOKUP(C156,'Dummy Table'!$B$3:$D$30,3,FALSE),"")</f>
        <v>Alpine</v>
      </c>
      <c r="F156" s="51"/>
      <c r="G156" s="72"/>
      <c r="H156" s="72"/>
      <c r="I156" s="72"/>
    </row>
    <row r="157" spans="1:26" x14ac:dyDescent="0.2">
      <c r="B157" s="60">
        <f>$J$19</f>
        <v>18</v>
      </c>
      <c r="C157" s="48" t="s">
        <v>344</v>
      </c>
      <c r="D157" s="49" t="str">
        <f>IF(C157&lt;&gt;"",VLOOKUP(C157,'Dummy Table'!$B$3:$C$30,2,FALSE),"")</f>
        <v>Brasil</v>
      </c>
      <c r="E157" s="49" t="str">
        <f>IF(C157&lt;&gt;"",VLOOKUP(C157,'Dummy Table'!$B$3:$D$30,3,FALSE),"")</f>
        <v>Kick Sauber</v>
      </c>
      <c r="F157" s="51"/>
      <c r="G157" s="72"/>
      <c r="H157" s="72"/>
      <c r="I157" s="72"/>
      <c r="K157" s="78"/>
    </row>
    <row r="158" spans="1:26" x14ac:dyDescent="0.2">
      <c r="B158" s="60">
        <f>$J$20</f>
        <v>19</v>
      </c>
      <c r="C158" s="48" t="s">
        <v>339</v>
      </c>
      <c r="D158" s="49" t="str">
        <f>IF(C158&lt;&gt;"",VLOOKUP(C158,'Dummy Table'!$B$3:$C$30,2,FALSE),"")</f>
        <v>Japão</v>
      </c>
      <c r="E158" s="49" t="str">
        <f>IF(C158&lt;&gt;"",VLOOKUP(C158,'Dummy Table'!$B$3:$D$30,3,FALSE),"")</f>
        <v>Red Bull</v>
      </c>
      <c r="F158" s="51" t="s">
        <v>320</v>
      </c>
      <c r="G158" s="72"/>
      <c r="H158" s="72"/>
      <c r="I158" s="72"/>
    </row>
    <row r="159" spans="1:26" x14ac:dyDescent="0.2">
      <c r="B159" s="60">
        <f>$J$21</f>
        <v>20</v>
      </c>
      <c r="C159" s="48" t="s">
        <v>312</v>
      </c>
      <c r="D159" s="49" t="str">
        <f>IF(C159&lt;&gt;"",VLOOKUP(C159,'Dummy Table'!$B$3:$C$30,2,FALSE),"")</f>
        <v>França</v>
      </c>
      <c r="E159" s="49" t="str">
        <f>IF(C159&lt;&gt;"",VLOOKUP(C159,'Dummy Table'!$B$3:$D$30,3,FALSE),"")</f>
        <v>Alpine</v>
      </c>
      <c r="F159" s="51" t="s">
        <v>320</v>
      </c>
      <c r="G159" s="72"/>
      <c r="H159" s="72"/>
      <c r="I159" s="72"/>
      <c r="K159" s="71"/>
    </row>
    <row r="160" spans="1:26" ht="12.75" hidden="1" customHeight="1" x14ac:dyDescent="0.2">
      <c r="B160" s="76">
        <f>$J$22</f>
        <v>21</v>
      </c>
      <c r="C160" s="75"/>
      <c r="D160" s="65" t="str">
        <f>IF(C160&lt;&gt;"",VLOOKUP(C160,'Dummy Table'!$B$3:$C$30,2,FALSE),"")</f>
        <v/>
      </c>
      <c r="E160" s="65" t="str">
        <f>IF(C160&lt;&gt;"",VLOOKUP(C160,'Dummy Table'!$B$3:$D$30,3,FALSE),"")</f>
        <v/>
      </c>
      <c r="F160" s="77"/>
      <c r="G160" s="72"/>
      <c r="H160" s="72"/>
      <c r="I160" s="72"/>
      <c r="K160" s="71"/>
    </row>
    <row r="161" spans="1:26" ht="12.75" hidden="1" customHeight="1" x14ac:dyDescent="0.2">
      <c r="B161" s="76" t="str">
        <f>$J$23</f>
        <v/>
      </c>
      <c r="C161" s="75"/>
      <c r="D161" s="65" t="str">
        <f>IF(C161&lt;&gt;"",VLOOKUP(C161,'Dummy Table'!$B$3:$C$30,2,FALSE),"")</f>
        <v/>
      </c>
      <c r="E161" s="65" t="str">
        <f>IF(C161&lt;&gt;"",VLOOKUP(C161,'Dummy Table'!$B$3:$D$30,3,FALSE),"")</f>
        <v/>
      </c>
      <c r="F161" s="80"/>
      <c r="G161" s="72"/>
      <c r="H161" s="72"/>
      <c r="I161" s="72"/>
      <c r="K161" s="71"/>
    </row>
    <row r="162" spans="1:26" s="79" customFormat="1" ht="12.75" hidden="1" customHeight="1" x14ac:dyDescent="0.2">
      <c r="A162" s="62"/>
      <c r="B162" s="76" t="str">
        <f>IF(F162="",$J$24,"Ret")</f>
        <v/>
      </c>
      <c r="C162" s="75"/>
      <c r="D162" s="65" t="str">
        <f>IF(C162&lt;&gt;"",VLOOKUP(C162,'Dummy Table'!$B$3:$C$30,2,FALSE),"")</f>
        <v/>
      </c>
      <c r="E162" s="65" t="str">
        <f>IF(C162&lt;&gt;"",VLOOKUP(C162,'Dummy Table'!$B$3:$D$30,3,FALSE),"")</f>
        <v/>
      </c>
      <c r="F162" s="81"/>
      <c r="G162" s="72"/>
      <c r="H162" s="72"/>
      <c r="I162" s="72"/>
      <c r="J162" s="73"/>
      <c r="K162" s="71"/>
      <c r="L162" s="78"/>
      <c r="M162" s="69"/>
      <c r="N162" s="69"/>
      <c r="O162" s="69"/>
      <c r="P162" s="68"/>
      <c r="Q162" s="68"/>
      <c r="R162" s="68"/>
      <c r="S162" s="78"/>
      <c r="T162" s="78"/>
      <c r="U162" s="78"/>
      <c r="V162" s="78"/>
      <c r="W162" s="78"/>
      <c r="X162" s="78"/>
      <c r="Y162" s="78"/>
      <c r="Z162" s="78"/>
    </row>
    <row r="163" spans="1:26" ht="12.75" hidden="1" customHeight="1" x14ac:dyDescent="0.2">
      <c r="B163" s="76" t="str">
        <f>IF(F163="",$J$25,"Ret")</f>
        <v/>
      </c>
      <c r="C163" s="75"/>
      <c r="D163" s="65" t="str">
        <f>IF(C163&lt;&gt;"",VLOOKUP(C163,'Dummy Table'!$B$3:$C$30,2,FALSE),"")</f>
        <v/>
      </c>
      <c r="E163" s="65" t="str">
        <f>IF(C163&lt;&gt;"",VLOOKUP(C163,'Dummy Table'!$B$3:$D$30,3,FALSE),"")</f>
        <v/>
      </c>
      <c r="F163" s="81"/>
      <c r="G163" s="72"/>
      <c r="H163" s="72"/>
      <c r="I163" s="72"/>
      <c r="K163" s="71"/>
    </row>
    <row r="164" spans="1:26" x14ac:dyDescent="0.2">
      <c r="B164" s="52" t="s">
        <v>248</v>
      </c>
      <c r="C164" s="53" t="s">
        <v>305</v>
      </c>
      <c r="D164" s="54" t="str">
        <f>IF(C164&lt;&gt;"",VLOOKUP(C164,'Dummy Table'!$B$3:$C$30,2,FALSE),"")</f>
        <v>Holanda</v>
      </c>
      <c r="E164" s="54" t="str">
        <f>IF(C164&lt;&gt;"",VLOOKUP(C164,'Dummy Table'!$B$3:$D$30,3,FALSE),"")</f>
        <v>Red Bull</v>
      </c>
      <c r="F164" s="55"/>
      <c r="H164" s="72"/>
      <c r="K164" s="71"/>
    </row>
    <row r="165" spans="1:26" x14ac:dyDescent="0.2">
      <c r="B165" s="56" t="s">
        <v>238</v>
      </c>
      <c r="C165" s="57" t="s">
        <v>316</v>
      </c>
      <c r="D165" s="54" t="str">
        <f>IF(C165&lt;&gt;"",VLOOKUP(C165,'Dummy Table'!$B$3:$C$30,2,FALSE),"")</f>
        <v>Inglaterra</v>
      </c>
      <c r="E165" s="54" t="str">
        <f>IF(C165&lt;&gt;"",VLOOKUP(C165,'Dummy Table'!$B$3:$D$30,3,FALSE),"")</f>
        <v>McLaren 🏆</v>
      </c>
      <c r="F165" s="58"/>
      <c r="H165" s="66">
        <f>IF(C165="",F165,0)</f>
        <v>0</v>
      </c>
      <c r="K165" s="71"/>
    </row>
    <row r="166" spans="1:26" x14ac:dyDescent="0.2">
      <c r="A166" s="62">
        <v>6</v>
      </c>
      <c r="B166" s="88">
        <f>VLOOKUP($A166,'Calendário atual'!$A$2:$E$30,2,FALSE)</f>
        <v>45781</v>
      </c>
      <c r="C166" s="162" t="str">
        <f>VLOOKUP($A166,'Calendário atual'!$A$2:$E$30,4,FALSE)</f>
        <v>FORMULA 1 CRYPTO.COM MIAMI GRAND PRIX 2025</v>
      </c>
      <c r="D166" s="162"/>
      <c r="E166" s="162"/>
      <c r="F166" s="88" t="str">
        <f>VLOOKUP($A166,'Calendário atual'!$A$2:$E$30,3,FALSE)</f>
        <v>USA</v>
      </c>
      <c r="G166" s="72"/>
      <c r="H166" s="72"/>
      <c r="I166" s="72"/>
      <c r="K166" s="71"/>
    </row>
    <row r="167" spans="1:26" x14ac:dyDescent="0.2">
      <c r="B167" s="134"/>
      <c r="C167" s="136" t="s">
        <v>396</v>
      </c>
      <c r="D167" s="135"/>
      <c r="E167" s="135"/>
      <c r="F167" s="135"/>
      <c r="G167" s="72"/>
      <c r="H167" s="72"/>
      <c r="I167" s="72"/>
      <c r="K167" s="82"/>
      <c r="M167" s="74"/>
      <c r="N167" s="74"/>
      <c r="O167" s="74"/>
      <c r="P167" s="74"/>
      <c r="Q167" s="74"/>
      <c r="R167" s="74"/>
      <c r="S167" s="74"/>
      <c r="T167" s="74"/>
      <c r="V167" s="68"/>
      <c r="W167" s="68"/>
      <c r="X167" s="68"/>
    </row>
    <row r="168" spans="1:26" x14ac:dyDescent="0.2">
      <c r="B168" s="61" t="s">
        <v>14</v>
      </c>
      <c r="C168" s="61" t="s">
        <v>29</v>
      </c>
      <c r="D168" s="61" t="s">
        <v>16</v>
      </c>
      <c r="E168" s="61" t="s">
        <v>17</v>
      </c>
      <c r="F168" s="61" t="s">
        <v>18</v>
      </c>
      <c r="M168" s="83"/>
      <c r="N168" s="83"/>
      <c r="O168" s="83"/>
      <c r="P168" s="78"/>
      <c r="Q168" s="78"/>
      <c r="R168" s="78"/>
      <c r="V168" s="68"/>
      <c r="W168" s="68"/>
      <c r="X168" s="68"/>
    </row>
    <row r="169" spans="1:26" x14ac:dyDescent="0.2">
      <c r="B169" s="59">
        <f>$J$2</f>
        <v>1</v>
      </c>
      <c r="C169" s="48" t="s">
        <v>316</v>
      </c>
      <c r="D169" s="49" t="str">
        <f>IF(C169&lt;&gt;"",VLOOKUP(C169,'Dummy Table'!$B$3:$C$30,2,FALSE),"")</f>
        <v>Inglaterra</v>
      </c>
      <c r="E169" s="49" t="str">
        <f>IF(C169&lt;&gt;"",VLOOKUP(C169,'Dummy Table'!$B$3:$D$30,3,FALSE),"")</f>
        <v>McLaren 🏆</v>
      </c>
      <c r="F169" s="50">
        <v>8</v>
      </c>
      <c r="G169" s="66">
        <f>IF(C169="",F169,0)</f>
        <v>0</v>
      </c>
      <c r="H169" s="66">
        <f>IF(C169="",F169,0)</f>
        <v>0</v>
      </c>
      <c r="K169" s="71"/>
      <c r="M169" s="130"/>
      <c r="N169" s="130"/>
      <c r="O169" s="130"/>
      <c r="V169" s="68"/>
      <c r="W169" s="68"/>
      <c r="X169" s="68"/>
    </row>
    <row r="170" spans="1:26" x14ac:dyDescent="0.2">
      <c r="B170" s="60">
        <f>$J$3</f>
        <v>2</v>
      </c>
      <c r="C170" s="48" t="s">
        <v>334</v>
      </c>
      <c r="D170" s="49" t="str">
        <f>IF(C170&lt;&gt;"",VLOOKUP(C170,'Dummy Table'!$B$3:$C$30,2,FALSE),"")</f>
        <v>Austrália</v>
      </c>
      <c r="E170" s="49" t="str">
        <f>IF(C170&lt;&gt;"",VLOOKUP(C170,'Dummy Table'!$B$3:$D$30,3,FALSE),"")</f>
        <v>McLaren 🏆</v>
      </c>
      <c r="F170" s="50">
        <v>7</v>
      </c>
      <c r="H170" s="66">
        <f>IF(C170="",F170,0)</f>
        <v>0</v>
      </c>
      <c r="K170" s="71"/>
      <c r="M170" s="130"/>
      <c r="N170" s="130"/>
      <c r="O170" s="130"/>
    </row>
    <row r="171" spans="1:26" x14ac:dyDescent="0.2">
      <c r="B171" s="60">
        <f>$J$4</f>
        <v>3</v>
      </c>
      <c r="C171" s="48" t="s">
        <v>1</v>
      </c>
      <c r="D171" s="49" t="str">
        <f>IF(C171&lt;&gt;"",VLOOKUP(C171,'Dummy Table'!$B$3:$C$30,2,FALSE),"")</f>
        <v>Inglaterra</v>
      </c>
      <c r="E171" s="49" t="str">
        <f>IF(C171&lt;&gt;"",VLOOKUP(C171,'Dummy Table'!$B$3:$D$30,3,FALSE),"")</f>
        <v>Ferrari</v>
      </c>
      <c r="F171" s="50">
        <v>6</v>
      </c>
      <c r="M171" s="130"/>
      <c r="N171" s="130"/>
      <c r="O171" s="130"/>
    </row>
    <row r="172" spans="1:26" x14ac:dyDescent="0.2">
      <c r="B172" s="60">
        <f>$J$5</f>
        <v>4</v>
      </c>
      <c r="C172" s="48" t="s">
        <v>394</v>
      </c>
      <c r="D172" s="49" t="str">
        <f>IF(C172&lt;&gt;"",VLOOKUP(C172,'Dummy Table'!$B$3:$C$30,2,FALSE),"")</f>
        <v>Inglaterra</v>
      </c>
      <c r="E172" s="49" t="str">
        <f>IF(C172&lt;&gt;"",VLOOKUP(C172,'Dummy Table'!$B$3:$D$30,3,FALSE),"")</f>
        <v>Mercedes</v>
      </c>
      <c r="F172" s="50">
        <v>5</v>
      </c>
      <c r="K172" s="78"/>
      <c r="M172" s="130"/>
      <c r="N172" s="130"/>
      <c r="O172" s="130"/>
    </row>
    <row r="173" spans="1:26" x14ac:dyDescent="0.2">
      <c r="B173" s="60">
        <f>$J$6</f>
        <v>5</v>
      </c>
      <c r="C173" s="48" t="s">
        <v>311</v>
      </c>
      <c r="D173" s="49" t="str">
        <f>IF(C173&lt;&gt;"",VLOOKUP(C173,'Dummy Table'!$B$3:$C$30,2,FALSE),"")</f>
        <v>Canadá</v>
      </c>
      <c r="E173" s="49" t="str">
        <f>IF(C173&lt;&gt;"",VLOOKUP(C173,'Dummy Table'!$B$3:$D$30,3,FALSE),"")</f>
        <v>Aston Martin</v>
      </c>
      <c r="F173" s="50">
        <v>4</v>
      </c>
      <c r="M173" s="130"/>
      <c r="N173" s="130"/>
      <c r="O173" s="130"/>
    </row>
    <row r="174" spans="1:26" x14ac:dyDescent="0.2">
      <c r="B174" s="60">
        <f>$J$7</f>
        <v>6</v>
      </c>
      <c r="C174" s="48" t="s">
        <v>339</v>
      </c>
      <c r="D174" s="49" t="str">
        <f>IF(C174&lt;&gt;"",VLOOKUP(C174,'Dummy Table'!$B$3:$C$30,2,FALSE),"")</f>
        <v>Japão</v>
      </c>
      <c r="E174" s="49" t="str">
        <f>IF(C174&lt;&gt;"",VLOOKUP(C174,'Dummy Table'!$B$3:$D$30,3,FALSE),"")</f>
        <v>Red Bull</v>
      </c>
      <c r="F174" s="50">
        <v>3</v>
      </c>
      <c r="K174" s="71"/>
      <c r="M174" s="130"/>
      <c r="N174" s="130"/>
      <c r="O174" s="130"/>
    </row>
    <row r="175" spans="1:26" x14ac:dyDescent="0.2">
      <c r="B175" s="60">
        <f>$J$8</f>
        <v>7</v>
      </c>
      <c r="C175" s="48" t="s">
        <v>336</v>
      </c>
      <c r="D175" s="49" t="str">
        <f>IF(C175&lt;&gt;"",VLOOKUP(C175,'Dummy Table'!$B$3:$C$30,2,FALSE),"")</f>
        <v>Itália</v>
      </c>
      <c r="E175" s="49" t="str">
        <f>IF(C175&lt;&gt;"",VLOOKUP(C175,'Dummy Table'!$B$3:$D$30,3,FALSE),"")</f>
        <v>Mercedes</v>
      </c>
      <c r="F175" s="50">
        <v>2</v>
      </c>
      <c r="K175" s="71"/>
      <c r="M175" s="130"/>
      <c r="N175" s="130"/>
      <c r="O175" s="130"/>
    </row>
    <row r="176" spans="1:26" x14ac:dyDescent="0.2">
      <c r="B176" s="60">
        <f>$J$9</f>
        <v>8</v>
      </c>
      <c r="C176" s="48" t="s">
        <v>312</v>
      </c>
      <c r="D176" s="49" t="str">
        <f>IF(C176&lt;&gt;"",VLOOKUP(C176,'Dummy Table'!$B$3:$C$30,2,FALSE),"")</f>
        <v>França</v>
      </c>
      <c r="E176" s="49" t="str">
        <f>IF(C176&lt;&gt;"",VLOOKUP(C176,'Dummy Table'!$B$3:$D$30,3,FALSE),"")</f>
        <v>Alpine</v>
      </c>
      <c r="F176" s="50">
        <v>1</v>
      </c>
      <c r="K176" s="71"/>
      <c r="M176" s="130"/>
      <c r="N176" s="130"/>
      <c r="O176" s="130"/>
    </row>
    <row r="177" spans="1:26" s="79" customFormat="1" x14ac:dyDescent="0.2">
      <c r="A177" s="62"/>
      <c r="B177" s="60">
        <f>$J$10</f>
        <v>9</v>
      </c>
      <c r="C177" s="48" t="s">
        <v>257</v>
      </c>
      <c r="D177" s="49" t="str">
        <f>IF(C177&lt;&gt;"",VLOOKUP(C177,'Dummy Table'!$B$3:$C$30,2,FALSE),"")</f>
        <v>Alemanha</v>
      </c>
      <c r="E177" s="49" t="str">
        <f>IF(C177&lt;&gt;"",VLOOKUP(C177,'Dummy Table'!$B$3:$D$30,3,FALSE),"")</f>
        <v>Kick Sauber</v>
      </c>
      <c r="F177" s="50"/>
      <c r="G177" s="66"/>
      <c r="H177" s="66"/>
      <c r="I177" s="66"/>
      <c r="J177" s="73"/>
      <c r="K177" s="71"/>
      <c r="L177" s="78"/>
      <c r="M177" s="130"/>
      <c r="N177" s="130"/>
      <c r="O177" s="130"/>
      <c r="P177" s="68"/>
      <c r="Q177" s="68"/>
      <c r="R177" s="68"/>
      <c r="S177" s="78"/>
      <c r="T177" s="78"/>
      <c r="U177" s="78"/>
      <c r="V177" s="78"/>
      <c r="W177" s="78"/>
      <c r="X177" s="78"/>
      <c r="Y177" s="78"/>
      <c r="Z177" s="78"/>
    </row>
    <row r="178" spans="1:26" x14ac:dyDescent="0.2">
      <c r="B178" s="60">
        <f>$J$11</f>
        <v>10</v>
      </c>
      <c r="C178" s="48" t="s">
        <v>341</v>
      </c>
      <c r="D178" s="49" t="str">
        <f>IF(C178&lt;&gt;"",VLOOKUP(C178,'Dummy Table'!$B$3:$C$30,2,FALSE),"")</f>
        <v>França</v>
      </c>
      <c r="E178" s="49" t="str">
        <f>IF(C178&lt;&gt;"",VLOOKUP(C178,'Dummy Table'!$B$3:$D$30,3,FALSE),"")</f>
        <v>Racing Bulls</v>
      </c>
      <c r="F178" s="50"/>
      <c r="K178" s="71"/>
      <c r="M178" s="130"/>
      <c r="N178" s="130"/>
      <c r="O178" s="130"/>
    </row>
    <row r="179" spans="1:26" x14ac:dyDescent="0.2">
      <c r="B179" s="60">
        <f>$J$12</f>
        <v>11</v>
      </c>
      <c r="C179" s="48" t="s">
        <v>315</v>
      </c>
      <c r="D179" s="49" t="str">
        <f>IF(C179&lt;&gt;"",VLOOKUP(C179,'Dummy Table'!$B$3:$C$30,2,FALSE),"")</f>
        <v>Tailandia</v>
      </c>
      <c r="E179" s="49" t="str">
        <f>IF(C179&lt;&gt;"",VLOOKUP(C179,'Dummy Table'!$B$3:$D$30,3,FALSE),"")</f>
        <v>Williams</v>
      </c>
      <c r="F179" s="51"/>
      <c r="K179" s="71"/>
      <c r="M179" s="130"/>
      <c r="N179" s="130"/>
      <c r="O179" s="130"/>
    </row>
    <row r="180" spans="1:26" x14ac:dyDescent="0.2">
      <c r="B180" s="60">
        <f>$J$13</f>
        <v>12</v>
      </c>
      <c r="C180" s="48" t="s">
        <v>319</v>
      </c>
      <c r="D180" s="49" t="str">
        <f>IF(C180&lt;&gt;"",VLOOKUP(C180,'Dummy Table'!$B$3:$C$30,2,FALSE),"")</f>
        <v>França</v>
      </c>
      <c r="E180" s="49" t="str">
        <f>IF(C180&lt;&gt;"",VLOOKUP(C180,'Dummy Table'!$B$3:$D$30,3,FALSE),"")</f>
        <v>Haas</v>
      </c>
      <c r="F180" s="51"/>
      <c r="K180" s="71"/>
      <c r="M180" s="130"/>
      <c r="N180" s="130"/>
      <c r="O180" s="130"/>
    </row>
    <row r="181" spans="1:26" x14ac:dyDescent="0.2">
      <c r="B181" s="60">
        <f>$J$14</f>
        <v>13</v>
      </c>
      <c r="C181" s="48" t="s">
        <v>335</v>
      </c>
      <c r="D181" s="49" t="str">
        <f>IF(C181&lt;&gt;"",VLOOKUP(C181,'Dummy Table'!$B$3:$C$30,2,FALSE),"")</f>
        <v>Austrália</v>
      </c>
      <c r="E181" s="49" t="str">
        <f>IF(C181&lt;&gt;"",VLOOKUP(C181,'Dummy Table'!$B$3:$D$30,3,FALSE),"")</f>
        <v>Racing Bulls</v>
      </c>
      <c r="F181" s="51"/>
      <c r="G181" s="72"/>
      <c r="H181" s="72"/>
      <c r="I181" s="72"/>
      <c r="K181" s="71"/>
      <c r="M181" s="130"/>
      <c r="N181" s="130"/>
      <c r="O181" s="130"/>
    </row>
    <row r="182" spans="1:26" x14ac:dyDescent="0.2">
      <c r="B182" s="60">
        <f>$J$15</f>
        <v>14</v>
      </c>
      <c r="C182" s="48" t="s">
        <v>338</v>
      </c>
      <c r="D182" s="49" t="str">
        <f>IF(C182&lt;&gt;"",VLOOKUP(C182,'Dummy Table'!$B$3:$C$30,2,FALSE),"")</f>
        <v>Inglaterra</v>
      </c>
      <c r="E182" s="49" t="str">
        <f>IF(C182&lt;&gt;"",VLOOKUP(C182,'Dummy Table'!$B$3:$D$30,3,FALSE),"")</f>
        <v>Haas</v>
      </c>
      <c r="F182" s="51"/>
      <c r="G182" s="72"/>
      <c r="H182" s="72"/>
      <c r="I182" s="72"/>
      <c r="K182" s="71"/>
      <c r="M182" s="83"/>
      <c r="N182" s="83"/>
      <c r="O182" s="83"/>
      <c r="P182" s="78"/>
      <c r="Q182" s="78"/>
      <c r="R182" s="78"/>
    </row>
    <row r="183" spans="1:26" x14ac:dyDescent="0.2">
      <c r="B183" s="60">
        <f>$J$16</f>
        <v>15</v>
      </c>
      <c r="C183" s="48" t="s">
        <v>344</v>
      </c>
      <c r="D183" s="49" t="str">
        <f>IF(C183&lt;&gt;"",VLOOKUP(C183,'Dummy Table'!$B$3:$C$30,2,FALSE),"")</f>
        <v>Brasil</v>
      </c>
      <c r="E183" s="49" t="str">
        <f>IF(C183&lt;&gt;"",VLOOKUP(C183,'Dummy Table'!$B$3:$D$30,3,FALSE),"")</f>
        <v>Kick Sauber</v>
      </c>
      <c r="F183" s="51"/>
      <c r="G183" s="72"/>
      <c r="H183" s="72"/>
      <c r="I183" s="72"/>
      <c r="K183" s="71"/>
      <c r="M183" s="130"/>
      <c r="N183" s="130"/>
      <c r="O183" s="130"/>
    </row>
    <row r="184" spans="1:26" x14ac:dyDescent="0.2">
      <c r="B184" s="60">
        <f>$J$17</f>
        <v>16</v>
      </c>
      <c r="C184" s="48" t="s">
        <v>337</v>
      </c>
      <c r="D184" s="49" t="str">
        <f>IF(C184&lt;&gt;"",VLOOKUP(C184,'Dummy Table'!$B$3:$C$30,2,FALSE),"")</f>
        <v>Austrália</v>
      </c>
      <c r="E184" s="49" t="str">
        <f>IF(C184&lt;&gt;"",VLOOKUP(C184,'Dummy Table'!$B$3:$D$30,3,FALSE),"")</f>
        <v>Alpine</v>
      </c>
      <c r="F184" s="51"/>
      <c r="G184" s="72"/>
      <c r="H184" s="72"/>
      <c r="I184" s="72"/>
      <c r="K184" s="71"/>
      <c r="M184" s="130"/>
      <c r="N184" s="130"/>
      <c r="O184" s="130"/>
    </row>
    <row r="185" spans="1:26" x14ac:dyDescent="0.2">
      <c r="B185" s="60">
        <f>$J$18</f>
        <v>17</v>
      </c>
      <c r="C185" s="48" t="s">
        <v>305</v>
      </c>
      <c r="D185" s="49" t="str">
        <f>IF(C185&lt;&gt;"",VLOOKUP(C185,'Dummy Table'!$B$3:$C$30,2,FALSE),"")</f>
        <v>Holanda</v>
      </c>
      <c r="E185" s="49" t="str">
        <f>IF(C185&lt;&gt;"",VLOOKUP(C185,'Dummy Table'!$B$3:$D$30,3,FALSE),"")</f>
        <v>Red Bull</v>
      </c>
      <c r="F185" s="51"/>
      <c r="G185" s="72"/>
      <c r="H185" s="72"/>
      <c r="I185" s="72"/>
      <c r="M185" s="130"/>
      <c r="N185" s="130"/>
      <c r="O185" s="130"/>
    </row>
    <row r="186" spans="1:26" x14ac:dyDescent="0.2">
      <c r="B186" s="60">
        <f>$J$19</f>
        <v>18</v>
      </c>
      <c r="C186" s="48" t="s">
        <v>30</v>
      </c>
      <c r="D186" s="49" t="str">
        <f>IF(C186&lt;&gt;"",VLOOKUP(C186,'Dummy Table'!$B$3:$C$30,2,FALSE),"")</f>
        <v>Espanha</v>
      </c>
      <c r="E186" s="49" t="str">
        <f>IF(C186&lt;&gt;"",VLOOKUP(C186,'Dummy Table'!$B$3:$D$30,3,FALSE),"")</f>
        <v>Aston Martin</v>
      </c>
      <c r="F186" s="51" t="s">
        <v>320</v>
      </c>
      <c r="G186" s="72"/>
      <c r="H186" s="72"/>
      <c r="I186" s="72"/>
      <c r="K186" s="78"/>
      <c r="M186" s="130"/>
      <c r="N186" s="130"/>
      <c r="O186" s="130"/>
    </row>
    <row r="187" spans="1:26" x14ac:dyDescent="0.2">
      <c r="B187" s="60">
        <f>$J$20</f>
        <v>19</v>
      </c>
      <c r="C187" s="48" t="s">
        <v>343</v>
      </c>
      <c r="D187" s="49" t="str">
        <f>IF(C187&lt;&gt;"",VLOOKUP(C187,'Dummy Table'!$B$3:$C$30,2,FALSE),"")</f>
        <v>Espanha</v>
      </c>
      <c r="E187" s="49" t="str">
        <f>IF(C187&lt;&gt;"",VLOOKUP(C187,'Dummy Table'!$B$3:$D$30,3,FALSE),"")</f>
        <v>Williams</v>
      </c>
      <c r="F187" s="51" t="s">
        <v>320</v>
      </c>
      <c r="G187" s="72"/>
      <c r="H187" s="72"/>
      <c r="I187" s="72"/>
      <c r="M187" s="130"/>
      <c r="N187" s="130"/>
      <c r="O187" s="130"/>
    </row>
    <row r="188" spans="1:26" x14ac:dyDescent="0.2">
      <c r="B188" s="60">
        <f>$J$21</f>
        <v>20</v>
      </c>
      <c r="C188" s="48" t="s">
        <v>313</v>
      </c>
      <c r="D188" s="49" t="str">
        <f>IF(C188&lt;&gt;"",VLOOKUP(C188,'Dummy Table'!$B$3:$C$30,2,FALSE),"")</f>
        <v>Mônaco</v>
      </c>
      <c r="E188" s="49" t="str">
        <f>IF(C188&lt;&gt;"",VLOOKUP(C188,'Dummy Table'!$B$3:$D$30,3,FALSE),"")</f>
        <v>Ferrari</v>
      </c>
      <c r="F188" s="51" t="s">
        <v>399</v>
      </c>
      <c r="G188" s="72"/>
      <c r="H188" s="72"/>
      <c r="I188" s="72"/>
      <c r="K188" s="71"/>
      <c r="M188" s="130"/>
      <c r="N188" s="130"/>
      <c r="O188" s="130"/>
    </row>
    <row r="189" spans="1:26" hidden="1" x14ac:dyDescent="0.2">
      <c r="B189" s="60"/>
      <c r="C189" s="48"/>
      <c r="D189" s="49"/>
      <c r="E189" s="49"/>
      <c r="F189" s="51"/>
      <c r="G189" s="72"/>
      <c r="H189" s="72"/>
      <c r="I189" s="72"/>
      <c r="K189" s="71"/>
      <c r="M189" s="130"/>
      <c r="N189" s="130"/>
      <c r="O189" s="130"/>
    </row>
    <row r="190" spans="1:26" x14ac:dyDescent="0.2">
      <c r="B190" s="134"/>
      <c r="C190" s="136" t="s">
        <v>397</v>
      </c>
      <c r="D190" s="135"/>
      <c r="E190" s="135"/>
      <c r="F190" s="135"/>
      <c r="G190" s="72"/>
      <c r="H190" s="72"/>
      <c r="I190" s="72"/>
      <c r="K190" s="82"/>
      <c r="M190" s="74"/>
      <c r="N190" s="74"/>
      <c r="O190" s="74"/>
      <c r="P190" s="74"/>
      <c r="Q190" s="74"/>
      <c r="R190" s="74"/>
      <c r="S190" s="74"/>
      <c r="T190" s="74"/>
      <c r="V190" s="68"/>
      <c r="W190" s="68"/>
      <c r="X190" s="68"/>
    </row>
    <row r="191" spans="1:26" x14ac:dyDescent="0.2">
      <c r="B191" s="61" t="s">
        <v>14</v>
      </c>
      <c r="C191" s="61" t="s">
        <v>29</v>
      </c>
      <c r="D191" s="61" t="s">
        <v>16</v>
      </c>
      <c r="E191" s="61" t="s">
        <v>17</v>
      </c>
      <c r="F191" s="61" t="s">
        <v>18</v>
      </c>
      <c r="K191" s="71"/>
      <c r="M191" s="83"/>
      <c r="N191" s="83"/>
      <c r="O191" s="83"/>
      <c r="P191" s="78"/>
      <c r="Q191" s="78"/>
      <c r="R191" s="78"/>
    </row>
    <row r="192" spans="1:26" x14ac:dyDescent="0.2">
      <c r="B192" s="59">
        <f>$J$2</f>
        <v>1</v>
      </c>
      <c r="C192" s="48" t="s">
        <v>334</v>
      </c>
      <c r="D192" s="49" t="str">
        <f>IF(C192&lt;&gt;"",VLOOKUP(C192,'Dummy Table'!$B$3:$C$30,2,FALSE),"")</f>
        <v>Austrália</v>
      </c>
      <c r="E192" s="49" t="str">
        <f>IF(C192&lt;&gt;"",VLOOKUP(C192,'Dummy Table'!$B$3:$D$30,3,FALSE),"")</f>
        <v>McLaren 🏆</v>
      </c>
      <c r="F192" s="50">
        <v>25</v>
      </c>
      <c r="G192" s="66">
        <f>IF(C192="",F192,0)</f>
        <v>0</v>
      </c>
      <c r="H192" s="66">
        <f>IF(C192="",F192,0)</f>
        <v>0</v>
      </c>
      <c r="I192" s="66">
        <f>IF(C192="",1,0)</f>
        <v>0</v>
      </c>
      <c r="K192" s="71"/>
    </row>
    <row r="193" spans="1:26" x14ac:dyDescent="0.2">
      <c r="B193" s="60">
        <f>$J$3</f>
        <v>2</v>
      </c>
      <c r="C193" s="48" t="s">
        <v>316</v>
      </c>
      <c r="D193" s="49" t="str">
        <f>IF(C193&lt;&gt;"",VLOOKUP(C193,'Dummy Table'!$B$3:$C$30,2,FALSE),"")</f>
        <v>Inglaterra</v>
      </c>
      <c r="E193" s="49" t="str">
        <f>IF(C193&lt;&gt;"",VLOOKUP(C193,'Dummy Table'!$B$3:$D$30,3,FALSE),"")</f>
        <v>McLaren 🏆</v>
      </c>
      <c r="F193" s="50">
        <v>18</v>
      </c>
      <c r="H193" s="66">
        <f>IF(C193="",F193,0)</f>
        <v>0</v>
      </c>
      <c r="K193" s="71"/>
    </row>
    <row r="194" spans="1:26" x14ac:dyDescent="0.2">
      <c r="B194" s="60">
        <f>$J$4</f>
        <v>3</v>
      </c>
      <c r="C194" s="48" t="s">
        <v>394</v>
      </c>
      <c r="D194" s="49" t="str">
        <f>IF(C194&lt;&gt;"",VLOOKUP(C194,'Dummy Table'!$B$3:$C$30,2,FALSE),"")</f>
        <v>Inglaterra</v>
      </c>
      <c r="E194" s="49" t="str">
        <f>IF(C194&lt;&gt;"",VLOOKUP(C194,'Dummy Table'!$B$3:$D$30,3,FALSE),"")</f>
        <v>Mercedes</v>
      </c>
      <c r="F194" s="50">
        <v>15</v>
      </c>
    </row>
    <row r="195" spans="1:26" x14ac:dyDescent="0.2">
      <c r="B195" s="60">
        <f>$J$5</f>
        <v>4</v>
      </c>
      <c r="C195" s="48" t="s">
        <v>305</v>
      </c>
      <c r="D195" s="49" t="str">
        <f>IF(C195&lt;&gt;"",VLOOKUP(C195,'Dummy Table'!$B$3:$C$30,2,FALSE),"")</f>
        <v>Holanda</v>
      </c>
      <c r="E195" s="49" t="str">
        <f>IF(C195&lt;&gt;"",VLOOKUP(C195,'Dummy Table'!$B$3:$D$30,3,FALSE),"")</f>
        <v>Red Bull</v>
      </c>
      <c r="F195" s="50">
        <v>12</v>
      </c>
      <c r="K195" s="78"/>
    </row>
    <row r="196" spans="1:26" x14ac:dyDescent="0.2">
      <c r="B196" s="60">
        <f>$J$6</f>
        <v>5</v>
      </c>
      <c r="C196" s="48" t="s">
        <v>315</v>
      </c>
      <c r="D196" s="49" t="str">
        <f>IF(C196&lt;&gt;"",VLOOKUP(C196,'Dummy Table'!$B$3:$C$30,2,FALSE),"")</f>
        <v>Tailandia</v>
      </c>
      <c r="E196" s="49" t="str">
        <f>IF(C196&lt;&gt;"",VLOOKUP(C196,'Dummy Table'!$B$3:$D$30,3,FALSE),"")</f>
        <v>Williams</v>
      </c>
      <c r="F196" s="50">
        <v>10</v>
      </c>
    </row>
    <row r="197" spans="1:26" x14ac:dyDescent="0.2">
      <c r="B197" s="60">
        <f>$J$7</f>
        <v>6</v>
      </c>
      <c r="C197" s="48" t="s">
        <v>336</v>
      </c>
      <c r="D197" s="49" t="str">
        <f>IF(C197&lt;&gt;"",VLOOKUP(C197,'Dummy Table'!$B$3:$C$30,2,FALSE),"")</f>
        <v>Itália</v>
      </c>
      <c r="E197" s="49" t="str">
        <f>IF(C197&lt;&gt;"",VLOOKUP(C197,'Dummy Table'!$B$3:$D$30,3,FALSE),"")</f>
        <v>Mercedes</v>
      </c>
      <c r="F197" s="50">
        <v>8</v>
      </c>
      <c r="K197" s="71"/>
    </row>
    <row r="198" spans="1:26" x14ac:dyDescent="0.2">
      <c r="B198" s="60">
        <f>$J$8</f>
        <v>7</v>
      </c>
      <c r="C198" s="48" t="s">
        <v>313</v>
      </c>
      <c r="D198" s="49" t="str">
        <f>IF(C198&lt;&gt;"",VLOOKUP(C198,'Dummy Table'!$B$3:$C$30,2,FALSE),"")</f>
        <v>Mônaco</v>
      </c>
      <c r="E198" s="49" t="str">
        <f>IF(C198&lt;&gt;"",VLOOKUP(C198,'Dummy Table'!$B$3:$D$30,3,FALSE),"")</f>
        <v>Ferrari</v>
      </c>
      <c r="F198" s="50">
        <v>6</v>
      </c>
      <c r="K198" s="71"/>
    </row>
    <row r="199" spans="1:26" x14ac:dyDescent="0.2">
      <c r="B199" s="60">
        <f>$J$9</f>
        <v>8</v>
      </c>
      <c r="C199" s="48" t="s">
        <v>1</v>
      </c>
      <c r="D199" s="49" t="str">
        <f>IF(C199&lt;&gt;"",VLOOKUP(C199,'Dummy Table'!$B$3:$C$30,2,FALSE),"")</f>
        <v>Inglaterra</v>
      </c>
      <c r="E199" s="49" t="str">
        <f>IF(C199&lt;&gt;"",VLOOKUP(C199,'Dummy Table'!$B$3:$D$30,3,FALSE),"")</f>
        <v>Ferrari</v>
      </c>
      <c r="F199" s="50">
        <v>4</v>
      </c>
      <c r="K199" s="71"/>
    </row>
    <row r="200" spans="1:26" s="79" customFormat="1" x14ac:dyDescent="0.2">
      <c r="A200" s="62"/>
      <c r="B200" s="60">
        <f>$J$10</f>
        <v>9</v>
      </c>
      <c r="C200" s="48" t="s">
        <v>343</v>
      </c>
      <c r="D200" s="49" t="str">
        <f>IF(C200&lt;&gt;"",VLOOKUP(C200,'Dummy Table'!$B$3:$C$30,2,FALSE),"")</f>
        <v>Espanha</v>
      </c>
      <c r="E200" s="49" t="str">
        <f>IF(C200&lt;&gt;"",VLOOKUP(C200,'Dummy Table'!$B$3:$D$30,3,FALSE),"")</f>
        <v>Williams</v>
      </c>
      <c r="F200" s="50">
        <v>2</v>
      </c>
      <c r="G200" s="66"/>
      <c r="H200" s="66"/>
      <c r="I200" s="66"/>
      <c r="J200" s="73"/>
      <c r="K200" s="71"/>
      <c r="L200" s="78"/>
      <c r="M200" s="69"/>
      <c r="N200" s="69"/>
      <c r="O200" s="69"/>
      <c r="P200" s="68"/>
      <c r="Q200" s="68"/>
      <c r="R200" s="68"/>
      <c r="S200" s="78"/>
      <c r="T200" s="78"/>
      <c r="U200" s="78"/>
      <c r="V200" s="78"/>
      <c r="W200" s="78"/>
      <c r="X200" s="78"/>
      <c r="Y200" s="78"/>
      <c r="Z200" s="78"/>
    </row>
    <row r="201" spans="1:26" x14ac:dyDescent="0.2">
      <c r="B201" s="60">
        <f>$J$11</f>
        <v>10</v>
      </c>
      <c r="C201" s="48" t="s">
        <v>339</v>
      </c>
      <c r="D201" s="49" t="str">
        <f>IF(C201&lt;&gt;"",VLOOKUP(C201,'Dummy Table'!$B$3:$C$30,2,FALSE),"")</f>
        <v>Japão</v>
      </c>
      <c r="E201" s="49" t="str">
        <f>IF(C201&lt;&gt;"",VLOOKUP(C201,'Dummy Table'!$B$3:$D$30,3,FALSE),"")</f>
        <v>Red Bull</v>
      </c>
      <c r="F201" s="50">
        <v>1</v>
      </c>
      <c r="K201" s="71"/>
    </row>
    <row r="202" spans="1:26" x14ac:dyDescent="0.2">
      <c r="B202" s="60">
        <f>$J$12</f>
        <v>11</v>
      </c>
      <c r="C202" s="48" t="s">
        <v>341</v>
      </c>
      <c r="D202" s="49" t="str">
        <f>IF(C202&lt;&gt;"",VLOOKUP(C202,'Dummy Table'!$B$3:$C$30,2,FALSE),"")</f>
        <v>França</v>
      </c>
      <c r="E202" s="49" t="str">
        <f>IF(C202&lt;&gt;"",VLOOKUP(C202,'Dummy Table'!$B$3:$D$30,3,FALSE),"")</f>
        <v>Racing Bulls</v>
      </c>
      <c r="F202" s="51"/>
      <c r="K202" s="71"/>
    </row>
    <row r="203" spans="1:26" x14ac:dyDescent="0.2">
      <c r="B203" s="60">
        <f>$J$13</f>
        <v>12</v>
      </c>
      <c r="C203" s="48" t="s">
        <v>319</v>
      </c>
      <c r="D203" s="49" t="str">
        <f>IF(C203&lt;&gt;"",VLOOKUP(C203,'Dummy Table'!$B$3:$C$30,2,FALSE),"")</f>
        <v>França</v>
      </c>
      <c r="E203" s="49" t="str">
        <f>IF(C203&lt;&gt;"",VLOOKUP(C203,'Dummy Table'!$B$3:$D$30,3,FALSE),"")</f>
        <v>Haas</v>
      </c>
      <c r="F203" s="51"/>
      <c r="K203" s="71"/>
    </row>
    <row r="204" spans="1:26" x14ac:dyDescent="0.2">
      <c r="B204" s="60">
        <f>$J$14</f>
        <v>13</v>
      </c>
      <c r="C204" s="48" t="s">
        <v>312</v>
      </c>
      <c r="D204" s="49" t="str">
        <f>IF(C204&lt;&gt;"",VLOOKUP(C204,'Dummy Table'!$B$3:$C$30,2,FALSE),"")</f>
        <v>França</v>
      </c>
      <c r="E204" s="49" t="str">
        <f>IF(C204&lt;&gt;"",VLOOKUP(C204,'Dummy Table'!$B$3:$D$30,3,FALSE),"")</f>
        <v>Alpine</v>
      </c>
      <c r="F204" s="51"/>
      <c r="G204" s="72"/>
      <c r="H204" s="72"/>
      <c r="I204" s="72"/>
      <c r="K204" s="71"/>
    </row>
    <row r="205" spans="1:26" x14ac:dyDescent="0.2">
      <c r="B205" s="60">
        <f>$J$15</f>
        <v>14</v>
      </c>
      <c r="C205" s="48" t="s">
        <v>257</v>
      </c>
      <c r="D205" s="49" t="str">
        <f>IF(C205&lt;&gt;"",VLOOKUP(C205,'Dummy Table'!$B$3:$C$30,2,FALSE),"")</f>
        <v>Alemanha</v>
      </c>
      <c r="E205" s="49" t="str">
        <f>IF(C205&lt;&gt;"",VLOOKUP(C205,'Dummy Table'!$B$3:$D$30,3,FALSE),"")</f>
        <v>Kick Sauber</v>
      </c>
      <c r="F205" s="51"/>
      <c r="G205" s="72"/>
      <c r="H205" s="72"/>
      <c r="I205" s="72"/>
      <c r="K205" s="71"/>
      <c r="M205" s="83"/>
      <c r="N205" s="83"/>
      <c r="O205" s="83"/>
      <c r="P205" s="78"/>
      <c r="Q205" s="78"/>
      <c r="R205" s="78"/>
    </row>
    <row r="206" spans="1:26" x14ac:dyDescent="0.2">
      <c r="B206" s="60">
        <f>$J$16</f>
        <v>15</v>
      </c>
      <c r="C206" s="48" t="s">
        <v>30</v>
      </c>
      <c r="D206" s="49" t="str">
        <f>IF(C206&lt;&gt;"",VLOOKUP(C206,'Dummy Table'!$B$3:$C$30,2,FALSE),"")</f>
        <v>Espanha</v>
      </c>
      <c r="E206" s="49" t="str">
        <f>IF(C206&lt;&gt;"",VLOOKUP(C206,'Dummy Table'!$B$3:$D$30,3,FALSE),"")</f>
        <v>Aston Martin</v>
      </c>
      <c r="F206" s="51"/>
      <c r="G206" s="72"/>
      <c r="H206" s="72"/>
      <c r="I206" s="72"/>
      <c r="K206" s="71"/>
    </row>
    <row r="207" spans="1:26" x14ac:dyDescent="0.2">
      <c r="B207" s="60">
        <f>$J$17</f>
        <v>16</v>
      </c>
      <c r="C207" s="48" t="s">
        <v>311</v>
      </c>
      <c r="D207" s="49" t="str">
        <f>IF(C207&lt;&gt;"",VLOOKUP(C207,'Dummy Table'!$B$3:$C$30,2,FALSE),"")</f>
        <v>Canadá</v>
      </c>
      <c r="E207" s="49" t="str">
        <f>IF(C207&lt;&gt;"",VLOOKUP(C207,'Dummy Table'!$B$3:$D$30,3,FALSE),"")</f>
        <v>Aston Martin</v>
      </c>
      <c r="F207" s="51"/>
      <c r="G207" s="72"/>
      <c r="H207" s="72"/>
      <c r="I207" s="72"/>
      <c r="K207" s="71"/>
    </row>
    <row r="208" spans="1:26" x14ac:dyDescent="0.2">
      <c r="B208" s="60">
        <f>$J$18</f>
        <v>17</v>
      </c>
      <c r="C208" s="48" t="s">
        <v>335</v>
      </c>
      <c r="D208" s="49" t="str">
        <f>IF(C208&lt;&gt;"",VLOOKUP(C208,'Dummy Table'!$B$3:$C$30,2,FALSE),"")</f>
        <v>Austrália</v>
      </c>
      <c r="E208" s="49" t="str">
        <f>IF(C208&lt;&gt;"",VLOOKUP(C208,'Dummy Table'!$B$3:$D$30,3,FALSE),"")</f>
        <v>Racing Bulls</v>
      </c>
      <c r="F208" s="51" t="s">
        <v>320</v>
      </c>
      <c r="G208" s="72"/>
      <c r="H208" s="72"/>
      <c r="I208" s="72"/>
    </row>
    <row r="209" spans="1:26" x14ac:dyDescent="0.2">
      <c r="B209" s="60">
        <f>$J$19</f>
        <v>18</v>
      </c>
      <c r="C209" s="48" t="s">
        <v>344</v>
      </c>
      <c r="D209" s="49" t="str">
        <f>IF(C209&lt;&gt;"",VLOOKUP(C209,'Dummy Table'!$B$3:$C$30,2,FALSE),"")</f>
        <v>Brasil</v>
      </c>
      <c r="E209" s="49" t="str">
        <f>IF(C209&lt;&gt;"",VLOOKUP(C209,'Dummy Table'!$B$3:$D$30,3,FALSE),"")</f>
        <v>Kick Sauber</v>
      </c>
      <c r="F209" s="51" t="s">
        <v>320</v>
      </c>
      <c r="G209" s="72"/>
      <c r="H209" s="72"/>
      <c r="I209" s="72"/>
      <c r="K209" s="78"/>
    </row>
    <row r="210" spans="1:26" x14ac:dyDescent="0.2">
      <c r="B210" s="60">
        <f>$J$20</f>
        <v>19</v>
      </c>
      <c r="C210" s="48" t="s">
        <v>338</v>
      </c>
      <c r="D210" s="49" t="str">
        <f>IF(C210&lt;&gt;"",VLOOKUP(C210,'Dummy Table'!$B$3:$C$30,2,FALSE),"")</f>
        <v>Inglaterra</v>
      </c>
      <c r="E210" s="49" t="str">
        <f>IF(C210&lt;&gt;"",VLOOKUP(C210,'Dummy Table'!$B$3:$D$30,3,FALSE),"")</f>
        <v>Haas</v>
      </c>
      <c r="F210" s="51" t="s">
        <v>320</v>
      </c>
      <c r="G210" s="72"/>
      <c r="H210" s="72"/>
      <c r="I210" s="72"/>
    </row>
    <row r="211" spans="1:26" x14ac:dyDescent="0.2">
      <c r="B211" s="60">
        <f>$J$21</f>
        <v>20</v>
      </c>
      <c r="C211" s="48" t="s">
        <v>337</v>
      </c>
      <c r="D211" s="49" t="str">
        <f>IF(C211&lt;&gt;"",VLOOKUP(C211,'Dummy Table'!$B$3:$C$30,2,FALSE),"")</f>
        <v>Austrália</v>
      </c>
      <c r="E211" s="49" t="str">
        <f>IF(C211&lt;&gt;"",VLOOKUP(C211,'Dummy Table'!$B$3:$D$30,3,FALSE),"")</f>
        <v>Alpine</v>
      </c>
      <c r="F211" s="51" t="s">
        <v>320</v>
      </c>
      <c r="G211" s="72"/>
      <c r="H211" s="72"/>
      <c r="I211" s="72"/>
      <c r="K211" s="71"/>
    </row>
    <row r="212" spans="1:26" ht="12.75" hidden="1" customHeight="1" x14ac:dyDescent="0.2">
      <c r="B212" s="76">
        <f>$J$22</f>
        <v>21</v>
      </c>
      <c r="C212" s="75"/>
      <c r="D212" s="65" t="str">
        <f>IF(C212&lt;&gt;"",VLOOKUP(C212,'Dummy Table'!$B$3:$C$30,2,FALSE),"")</f>
        <v/>
      </c>
      <c r="E212" s="65" t="str">
        <f>IF(C212&lt;&gt;"",VLOOKUP(C212,'Dummy Table'!$B$3:$D$30,3,FALSE),"")</f>
        <v/>
      </c>
      <c r="F212" s="77"/>
      <c r="G212" s="72"/>
      <c r="H212" s="72"/>
      <c r="I212" s="72"/>
      <c r="K212" s="71"/>
    </row>
    <row r="213" spans="1:26" ht="12.75" hidden="1" customHeight="1" x14ac:dyDescent="0.2">
      <c r="B213" s="76" t="str">
        <f>$J$23</f>
        <v/>
      </c>
      <c r="C213" s="75"/>
      <c r="D213" s="65" t="str">
        <f>IF(C213&lt;&gt;"",VLOOKUP(C213,'Dummy Table'!$B$3:$C$30,2,FALSE),"")</f>
        <v/>
      </c>
      <c r="E213" s="65" t="str">
        <f>IF(C213&lt;&gt;"",VLOOKUP(C213,'Dummy Table'!$B$3:$D$30,3,FALSE),"")</f>
        <v/>
      </c>
      <c r="F213" s="80"/>
      <c r="G213" s="72"/>
      <c r="H213" s="72"/>
      <c r="I213" s="72"/>
      <c r="K213" s="71"/>
    </row>
    <row r="214" spans="1:26" s="79" customFormat="1" ht="12.75" hidden="1" customHeight="1" x14ac:dyDescent="0.2">
      <c r="A214" s="62"/>
      <c r="B214" s="76" t="str">
        <f>IF(F214="",$J$24,"Ret")</f>
        <v/>
      </c>
      <c r="C214" s="75"/>
      <c r="D214" s="65" t="str">
        <f>IF(C214&lt;&gt;"",VLOOKUP(C214,'Dummy Table'!$B$3:$C$30,2,FALSE),"")</f>
        <v/>
      </c>
      <c r="E214" s="65" t="str">
        <f>IF(C214&lt;&gt;"",VLOOKUP(C214,'Dummy Table'!$B$3:$D$30,3,FALSE),"")</f>
        <v/>
      </c>
      <c r="F214" s="81"/>
      <c r="G214" s="72"/>
      <c r="H214" s="72"/>
      <c r="I214" s="72"/>
      <c r="J214" s="73"/>
      <c r="K214" s="71"/>
      <c r="L214" s="78"/>
      <c r="M214" s="69"/>
      <c r="N214" s="69"/>
      <c r="O214" s="69"/>
      <c r="P214" s="68"/>
      <c r="Q214" s="68"/>
      <c r="R214" s="68"/>
      <c r="S214" s="78"/>
      <c r="T214" s="78"/>
      <c r="U214" s="78"/>
      <c r="V214" s="78"/>
      <c r="W214" s="78"/>
      <c r="X214" s="78"/>
      <c r="Y214" s="78"/>
      <c r="Z214" s="78"/>
    </row>
    <row r="215" spans="1:26" ht="12.75" hidden="1" customHeight="1" x14ac:dyDescent="0.2">
      <c r="B215" s="76" t="str">
        <f>IF(F215="",$J$25,"Ret")</f>
        <v/>
      </c>
      <c r="C215" s="75"/>
      <c r="D215" s="65" t="str">
        <f>IF(C215&lt;&gt;"",VLOOKUP(C215,'Dummy Table'!$B$3:$C$30,2,FALSE),"")</f>
        <v/>
      </c>
      <c r="E215" s="65" t="str">
        <f>IF(C215&lt;&gt;"",VLOOKUP(C215,'Dummy Table'!$B$3:$D$30,3,FALSE),"")</f>
        <v/>
      </c>
      <c r="F215" s="81"/>
      <c r="G215" s="72"/>
      <c r="H215" s="72"/>
      <c r="I215" s="72"/>
      <c r="K215" s="71"/>
    </row>
    <row r="216" spans="1:26" x14ac:dyDescent="0.2">
      <c r="B216" s="52" t="s">
        <v>248</v>
      </c>
      <c r="C216" s="53" t="s">
        <v>305</v>
      </c>
      <c r="D216" s="54" t="str">
        <f>IF(C216&lt;&gt;"",VLOOKUP(C216,'Dummy Table'!$B$3:$C$30,2,FALSE),"")</f>
        <v>Holanda</v>
      </c>
      <c r="E216" s="54" t="str">
        <f>IF(C216&lt;&gt;"",VLOOKUP(C216,'Dummy Table'!$B$3:$D$30,3,FALSE),"")</f>
        <v>Red Bull</v>
      </c>
      <c r="F216" s="55"/>
      <c r="H216" s="72"/>
      <c r="K216" s="71"/>
    </row>
    <row r="217" spans="1:26" x14ac:dyDescent="0.2">
      <c r="B217" s="56" t="s">
        <v>238</v>
      </c>
      <c r="C217" s="57" t="s">
        <v>316</v>
      </c>
      <c r="D217" s="54" t="str">
        <f>IF(C217&lt;&gt;"",VLOOKUP(C217,'Dummy Table'!$B$3:$C$30,2,FALSE),"")</f>
        <v>Inglaterra</v>
      </c>
      <c r="E217" s="54" t="str">
        <f>IF(C217&lt;&gt;"",VLOOKUP(C217,'Dummy Table'!$B$3:$D$30,3,FALSE),"")</f>
        <v>McLaren 🏆</v>
      </c>
      <c r="F217" s="58"/>
      <c r="H217" s="66">
        <f>IF(C217="",F217,0)</f>
        <v>0</v>
      </c>
      <c r="K217" s="71"/>
    </row>
    <row r="218" spans="1:26" x14ac:dyDescent="0.2">
      <c r="A218" s="62">
        <v>7</v>
      </c>
      <c r="B218" s="88">
        <f>VLOOKUP($A218,'Calendário atual'!$A$2:$E$30,2,FALSE)</f>
        <v>45795</v>
      </c>
      <c r="C218" s="162" t="str">
        <f>VLOOKUP($A218,'Calendário atual'!$A$2:$E$30,4,FALSE)</f>
        <v>FORMULA 1 AWS GRAN PREMIO DEL MADE IN ITALY E DELL'EMILIA-ROMAGNA 2025</v>
      </c>
      <c r="D218" s="162"/>
      <c r="E218" s="162"/>
      <c r="F218" s="88" t="str">
        <f>VLOOKUP($A218,'Calendário atual'!$A$2:$E$30,3,FALSE)</f>
        <v>Itália</v>
      </c>
      <c r="G218" s="72"/>
      <c r="H218" s="72"/>
      <c r="I218" s="72"/>
      <c r="K218" s="71"/>
    </row>
    <row r="219" spans="1:26" x14ac:dyDescent="0.2">
      <c r="B219" s="61" t="s">
        <v>14</v>
      </c>
      <c r="C219" s="61" t="s">
        <v>29</v>
      </c>
      <c r="D219" s="61" t="s">
        <v>16</v>
      </c>
      <c r="E219" s="61" t="s">
        <v>17</v>
      </c>
      <c r="F219" s="61" t="s">
        <v>18</v>
      </c>
      <c r="K219" s="71"/>
      <c r="M219" s="83"/>
      <c r="N219" s="83"/>
      <c r="O219" s="83"/>
      <c r="P219" s="78"/>
      <c r="Q219" s="78"/>
      <c r="R219" s="78"/>
    </row>
    <row r="220" spans="1:26" x14ac:dyDescent="0.2">
      <c r="B220" s="59">
        <f>$J$2</f>
        <v>1</v>
      </c>
      <c r="C220" s="48" t="s">
        <v>305</v>
      </c>
      <c r="D220" s="49" t="str">
        <f>IF(C220&lt;&gt;"",VLOOKUP(C220,'Dummy Table'!$B$3:$C$30,2,FALSE),"")</f>
        <v>Holanda</v>
      </c>
      <c r="E220" s="49" t="str">
        <f>IF(C220&lt;&gt;"",VLOOKUP(C220,'Dummy Table'!$B$3:$D$30,3,FALSE),"")</f>
        <v>Red Bull</v>
      </c>
      <c r="F220" s="50">
        <v>25</v>
      </c>
      <c r="G220" s="66">
        <f>IF(C220="",F220,0)</f>
        <v>0</v>
      </c>
      <c r="H220" s="66">
        <f>IF(C220="",F220,0)</f>
        <v>0</v>
      </c>
      <c r="I220" s="66">
        <f>IF(C220="",1,0)</f>
        <v>0</v>
      </c>
      <c r="K220" s="71"/>
    </row>
    <row r="221" spans="1:26" x14ac:dyDescent="0.2">
      <c r="B221" s="60">
        <f>$J$3</f>
        <v>2</v>
      </c>
      <c r="C221" s="48" t="s">
        <v>316</v>
      </c>
      <c r="D221" s="49" t="str">
        <f>IF(C221&lt;&gt;"",VLOOKUP(C221,'Dummy Table'!$B$3:$C$30,2,FALSE),"")</f>
        <v>Inglaterra</v>
      </c>
      <c r="E221" s="49" t="str">
        <f>IF(C221&lt;&gt;"",VLOOKUP(C221,'Dummy Table'!$B$3:$D$30,3,FALSE),"")</f>
        <v>McLaren 🏆</v>
      </c>
      <c r="F221" s="50">
        <v>18</v>
      </c>
      <c r="H221" s="66">
        <f>IF(C221="",F221,0)</f>
        <v>0</v>
      </c>
      <c r="K221" s="71"/>
    </row>
    <row r="222" spans="1:26" x14ac:dyDescent="0.2">
      <c r="B222" s="60">
        <f>$J$4</f>
        <v>3</v>
      </c>
      <c r="C222" s="48" t="s">
        <v>334</v>
      </c>
      <c r="D222" s="49" t="str">
        <f>IF(C222&lt;&gt;"",VLOOKUP(C222,'Dummy Table'!$B$3:$C$30,2,FALSE),"")</f>
        <v>Austrália</v>
      </c>
      <c r="E222" s="49" t="str">
        <f>IF(C222&lt;&gt;"",VLOOKUP(C222,'Dummy Table'!$B$3:$D$30,3,FALSE),"")</f>
        <v>McLaren 🏆</v>
      </c>
      <c r="F222" s="50">
        <v>15</v>
      </c>
    </row>
    <row r="223" spans="1:26" x14ac:dyDescent="0.2">
      <c r="B223" s="60">
        <f>$J$5</f>
        <v>4</v>
      </c>
      <c r="C223" s="48" t="s">
        <v>1</v>
      </c>
      <c r="D223" s="49" t="str">
        <f>IF(C223&lt;&gt;"",VLOOKUP(C223,'Dummy Table'!$B$3:$C$30,2,FALSE),"")</f>
        <v>Inglaterra</v>
      </c>
      <c r="E223" s="49" t="str">
        <f>IF(C223&lt;&gt;"",VLOOKUP(C223,'Dummy Table'!$B$3:$D$30,3,FALSE),"")</f>
        <v>Ferrari</v>
      </c>
      <c r="F223" s="50">
        <v>12</v>
      </c>
      <c r="K223" s="78"/>
    </row>
    <row r="224" spans="1:26" x14ac:dyDescent="0.2">
      <c r="B224" s="60">
        <f>$J$6</f>
        <v>5</v>
      </c>
      <c r="C224" s="48" t="s">
        <v>315</v>
      </c>
      <c r="D224" s="49" t="str">
        <f>IF(C224&lt;&gt;"",VLOOKUP(C224,'Dummy Table'!$B$3:$C$30,2,FALSE),"")</f>
        <v>Tailandia</v>
      </c>
      <c r="E224" s="49" t="str">
        <f>IF(C224&lt;&gt;"",VLOOKUP(C224,'Dummy Table'!$B$3:$D$30,3,FALSE),"")</f>
        <v>Williams</v>
      </c>
      <c r="F224" s="50">
        <v>10</v>
      </c>
    </row>
    <row r="225" spans="1:26" x14ac:dyDescent="0.2">
      <c r="B225" s="60">
        <f>$J$7</f>
        <v>6</v>
      </c>
      <c r="C225" s="48" t="s">
        <v>313</v>
      </c>
      <c r="D225" s="49" t="str">
        <f>IF(C225&lt;&gt;"",VLOOKUP(C225,'Dummy Table'!$B$3:$C$30,2,FALSE),"")</f>
        <v>Mônaco</v>
      </c>
      <c r="E225" s="49" t="str">
        <f>IF(C225&lt;&gt;"",VLOOKUP(C225,'Dummy Table'!$B$3:$D$30,3,FALSE),"")</f>
        <v>Ferrari</v>
      </c>
      <c r="F225" s="50">
        <v>8</v>
      </c>
      <c r="K225" s="71"/>
    </row>
    <row r="226" spans="1:26" x14ac:dyDescent="0.2">
      <c r="B226" s="60">
        <f>$J$8</f>
        <v>7</v>
      </c>
      <c r="C226" s="48" t="s">
        <v>394</v>
      </c>
      <c r="D226" s="49" t="str">
        <f>IF(C226&lt;&gt;"",VLOOKUP(C226,'Dummy Table'!$B$3:$C$30,2,FALSE),"")</f>
        <v>Inglaterra</v>
      </c>
      <c r="E226" s="49" t="str">
        <f>IF(C226&lt;&gt;"",VLOOKUP(C226,'Dummy Table'!$B$3:$D$30,3,FALSE),"")</f>
        <v>Mercedes</v>
      </c>
      <c r="F226" s="50">
        <v>6</v>
      </c>
      <c r="K226" s="71"/>
    </row>
    <row r="227" spans="1:26" x14ac:dyDescent="0.2">
      <c r="B227" s="60">
        <f>$J$9</f>
        <v>8</v>
      </c>
      <c r="C227" s="48" t="s">
        <v>343</v>
      </c>
      <c r="D227" s="49" t="str">
        <f>IF(C227&lt;&gt;"",VLOOKUP(C227,'Dummy Table'!$B$3:$C$30,2,FALSE),"")</f>
        <v>Espanha</v>
      </c>
      <c r="E227" s="49" t="str">
        <f>IF(C227&lt;&gt;"",VLOOKUP(C227,'Dummy Table'!$B$3:$D$30,3,FALSE),"")</f>
        <v>Williams</v>
      </c>
      <c r="F227" s="50">
        <v>4</v>
      </c>
      <c r="K227" s="71"/>
    </row>
    <row r="228" spans="1:26" s="79" customFormat="1" x14ac:dyDescent="0.2">
      <c r="A228" s="62"/>
      <c r="B228" s="60">
        <f>$J$10</f>
        <v>9</v>
      </c>
      <c r="C228" s="48" t="s">
        <v>341</v>
      </c>
      <c r="D228" s="49" t="str">
        <f>IF(C228&lt;&gt;"",VLOOKUP(C228,'Dummy Table'!$B$3:$C$30,2,FALSE),"")</f>
        <v>França</v>
      </c>
      <c r="E228" s="49" t="str">
        <f>IF(C228&lt;&gt;"",VLOOKUP(C228,'Dummy Table'!$B$3:$D$30,3,FALSE),"")</f>
        <v>Racing Bulls</v>
      </c>
      <c r="F228" s="50">
        <v>2</v>
      </c>
      <c r="G228" s="66"/>
      <c r="H228" s="66"/>
      <c r="I228" s="66"/>
      <c r="J228" s="73"/>
      <c r="K228" s="71"/>
      <c r="L228" s="78"/>
      <c r="M228" s="69"/>
      <c r="N228" s="69"/>
      <c r="O228" s="69"/>
      <c r="P228" s="68"/>
      <c r="Q228" s="68"/>
      <c r="R228" s="68"/>
      <c r="S228" s="78"/>
      <c r="T228" s="78"/>
      <c r="U228" s="78"/>
      <c r="V228" s="78"/>
      <c r="W228" s="78"/>
      <c r="X228" s="78"/>
      <c r="Y228" s="78"/>
      <c r="Z228" s="78"/>
    </row>
    <row r="229" spans="1:26" x14ac:dyDescent="0.2">
      <c r="B229" s="60">
        <f>$J$11</f>
        <v>10</v>
      </c>
      <c r="C229" s="48" t="s">
        <v>339</v>
      </c>
      <c r="D229" s="49" t="str">
        <f>IF(C229&lt;&gt;"",VLOOKUP(C229,'Dummy Table'!$B$3:$C$30,2,FALSE),"")</f>
        <v>Japão</v>
      </c>
      <c r="E229" s="49" t="str">
        <f>IF(C229&lt;&gt;"",VLOOKUP(C229,'Dummy Table'!$B$3:$D$30,3,FALSE),"")</f>
        <v>Red Bull</v>
      </c>
      <c r="F229" s="50">
        <v>1</v>
      </c>
      <c r="K229" s="71"/>
    </row>
    <row r="230" spans="1:26" x14ac:dyDescent="0.2">
      <c r="B230" s="60">
        <f>$J$12</f>
        <v>11</v>
      </c>
      <c r="C230" s="48" t="s">
        <v>30</v>
      </c>
      <c r="D230" s="49" t="str">
        <f>IF(C230&lt;&gt;"",VLOOKUP(C230,'Dummy Table'!$B$3:$C$30,2,FALSE),"")</f>
        <v>Espanha</v>
      </c>
      <c r="E230" s="49" t="str">
        <f>IF(C230&lt;&gt;"",VLOOKUP(C230,'Dummy Table'!$B$3:$D$30,3,FALSE),"")</f>
        <v>Aston Martin</v>
      </c>
      <c r="F230" s="51"/>
      <c r="K230" s="71"/>
    </row>
    <row r="231" spans="1:26" x14ac:dyDescent="0.2">
      <c r="B231" s="60">
        <f>$J$13</f>
        <v>12</v>
      </c>
      <c r="C231" s="48" t="s">
        <v>257</v>
      </c>
      <c r="D231" s="49" t="str">
        <f>IF(C231&lt;&gt;"",VLOOKUP(C231,'Dummy Table'!$B$3:$C$30,2,FALSE),"")</f>
        <v>Alemanha</v>
      </c>
      <c r="E231" s="49" t="str">
        <f>IF(C231&lt;&gt;"",VLOOKUP(C231,'Dummy Table'!$B$3:$D$30,3,FALSE),"")</f>
        <v>Kick Sauber</v>
      </c>
      <c r="F231" s="51"/>
      <c r="K231" s="71"/>
    </row>
    <row r="232" spans="1:26" x14ac:dyDescent="0.2">
      <c r="B232" s="60">
        <f>$J$14</f>
        <v>13</v>
      </c>
      <c r="C232" s="48" t="s">
        <v>312</v>
      </c>
      <c r="D232" s="49" t="str">
        <f>IF(C232&lt;&gt;"",VLOOKUP(C232,'Dummy Table'!$B$3:$C$30,2,FALSE),"")</f>
        <v>França</v>
      </c>
      <c r="E232" s="49" t="str">
        <f>IF(C232&lt;&gt;"",VLOOKUP(C232,'Dummy Table'!$B$3:$D$30,3,FALSE),"")</f>
        <v>Alpine</v>
      </c>
      <c r="F232" s="51"/>
      <c r="G232" s="72"/>
      <c r="H232" s="72"/>
      <c r="I232" s="72"/>
      <c r="K232" s="71"/>
    </row>
    <row r="233" spans="1:26" x14ac:dyDescent="0.2">
      <c r="B233" s="60">
        <f>$J$15</f>
        <v>14</v>
      </c>
      <c r="C233" s="48" t="s">
        <v>335</v>
      </c>
      <c r="D233" s="49" t="str">
        <f>IF(C233&lt;&gt;"",VLOOKUP(C233,'Dummy Table'!$B$3:$C$30,2,FALSE),"")</f>
        <v>Austrália</v>
      </c>
      <c r="E233" s="49" t="str">
        <f>IF(C233&lt;&gt;"",VLOOKUP(C233,'Dummy Table'!$B$3:$D$30,3,FALSE),"")</f>
        <v>Racing Bulls</v>
      </c>
      <c r="F233" s="51"/>
      <c r="G233" s="72"/>
      <c r="H233" s="72"/>
      <c r="I233" s="72"/>
      <c r="K233" s="71"/>
      <c r="M233" s="83"/>
      <c r="N233" s="83"/>
      <c r="O233" s="83"/>
      <c r="P233" s="78"/>
      <c r="Q233" s="78"/>
      <c r="R233" s="78"/>
    </row>
    <row r="234" spans="1:26" x14ac:dyDescent="0.2">
      <c r="B234" s="60">
        <f>$J$16</f>
        <v>15</v>
      </c>
      <c r="C234" s="48" t="s">
        <v>311</v>
      </c>
      <c r="D234" s="49" t="str">
        <f>IF(C234&lt;&gt;"",VLOOKUP(C234,'Dummy Table'!$B$3:$C$30,2,FALSE),"")</f>
        <v>Canadá</v>
      </c>
      <c r="E234" s="49" t="str">
        <f>IF(C234&lt;&gt;"",VLOOKUP(C234,'Dummy Table'!$B$3:$D$30,3,FALSE),"")</f>
        <v>Aston Martin</v>
      </c>
      <c r="F234" s="51"/>
      <c r="G234" s="72"/>
      <c r="H234" s="72"/>
      <c r="I234" s="72"/>
      <c r="K234" s="71"/>
    </row>
    <row r="235" spans="1:26" x14ac:dyDescent="0.2">
      <c r="B235" s="60">
        <f>$J$17</f>
        <v>16</v>
      </c>
      <c r="C235" s="48" t="s">
        <v>400</v>
      </c>
      <c r="D235" s="49" t="str">
        <f>IF(C235&lt;&gt;"",VLOOKUP(C235,'Dummy Table'!$B$3:$C$30,2,FALSE),"")</f>
        <v>Argentina</v>
      </c>
      <c r="E235" s="49" t="str">
        <f>IF(C235&lt;&gt;"",VLOOKUP(C235,'Dummy Table'!$B$3:$D$30,3,FALSE),"")</f>
        <v>Alpine</v>
      </c>
      <c r="F235" s="51"/>
      <c r="G235" s="72"/>
      <c r="H235" s="72"/>
      <c r="I235" s="72"/>
      <c r="K235" s="71"/>
    </row>
    <row r="236" spans="1:26" x14ac:dyDescent="0.2">
      <c r="B236" s="60">
        <f>$J$18</f>
        <v>17</v>
      </c>
      <c r="C236" s="48" t="s">
        <v>338</v>
      </c>
      <c r="D236" s="49" t="str">
        <f>IF(C236&lt;&gt;"",VLOOKUP(C236,'Dummy Table'!$B$3:$C$30,2,FALSE),"")</f>
        <v>Inglaterra</v>
      </c>
      <c r="E236" s="49" t="str">
        <f>IF(C236&lt;&gt;"",VLOOKUP(C236,'Dummy Table'!$B$3:$D$30,3,FALSE),"")</f>
        <v>Haas</v>
      </c>
      <c r="F236" s="51"/>
      <c r="G236" s="72"/>
      <c r="H236" s="72"/>
      <c r="I236" s="72"/>
    </row>
    <row r="237" spans="1:26" x14ac:dyDescent="0.2">
      <c r="B237" s="60">
        <f>$J$19</f>
        <v>18</v>
      </c>
      <c r="C237" s="48" t="s">
        <v>344</v>
      </c>
      <c r="D237" s="49" t="str">
        <f>IF(C237&lt;&gt;"",VLOOKUP(C237,'Dummy Table'!$B$3:$C$30,2,FALSE),"")</f>
        <v>Brasil</v>
      </c>
      <c r="E237" s="49" t="str">
        <f>IF(C237&lt;&gt;"",VLOOKUP(C237,'Dummy Table'!$B$3:$D$30,3,FALSE),"")</f>
        <v>Kick Sauber</v>
      </c>
      <c r="F237" s="51"/>
      <c r="G237" s="72"/>
      <c r="H237" s="72"/>
      <c r="I237" s="72"/>
      <c r="K237" s="78"/>
    </row>
    <row r="238" spans="1:26" x14ac:dyDescent="0.2">
      <c r="B238" s="60">
        <f>$J$20</f>
        <v>19</v>
      </c>
      <c r="C238" s="48" t="s">
        <v>336</v>
      </c>
      <c r="D238" s="49" t="str">
        <f>IF(C238&lt;&gt;"",VLOOKUP(C238,'Dummy Table'!$B$3:$C$30,2,FALSE),"")</f>
        <v>Itália</v>
      </c>
      <c r="E238" s="49" t="str">
        <f>IF(C238&lt;&gt;"",VLOOKUP(C238,'Dummy Table'!$B$3:$D$30,3,FALSE),"")</f>
        <v>Mercedes</v>
      </c>
      <c r="F238" s="51" t="s">
        <v>320</v>
      </c>
      <c r="G238" s="72"/>
      <c r="H238" s="72"/>
      <c r="I238" s="72"/>
    </row>
    <row r="239" spans="1:26" x14ac:dyDescent="0.2">
      <c r="B239" s="60">
        <f>$J$21</f>
        <v>20</v>
      </c>
      <c r="C239" s="48" t="s">
        <v>319</v>
      </c>
      <c r="D239" s="49" t="str">
        <f>IF(C239&lt;&gt;"",VLOOKUP(C239,'Dummy Table'!$B$3:$C$30,2,FALSE),"")</f>
        <v>França</v>
      </c>
      <c r="E239" s="49" t="str">
        <f>IF(C239&lt;&gt;"",VLOOKUP(C239,'Dummy Table'!$B$3:$D$30,3,FALSE),"")</f>
        <v>Haas</v>
      </c>
      <c r="F239" s="51" t="s">
        <v>320</v>
      </c>
      <c r="G239" s="72"/>
      <c r="H239" s="72"/>
      <c r="I239" s="72"/>
      <c r="K239" s="71"/>
    </row>
    <row r="240" spans="1:26" ht="12.75" hidden="1" customHeight="1" x14ac:dyDescent="0.2">
      <c r="B240" s="76">
        <f>$J$22</f>
        <v>21</v>
      </c>
      <c r="C240" s="75"/>
      <c r="D240" s="65" t="str">
        <f>IF(C240&lt;&gt;"",VLOOKUP(C240,'Dummy Table'!$B$3:$C$30,2,FALSE),"")</f>
        <v/>
      </c>
      <c r="E240" s="65" t="str">
        <f>IF(C240&lt;&gt;"",VLOOKUP(C240,'Dummy Table'!$B$3:$D$30,3,FALSE),"")</f>
        <v/>
      </c>
      <c r="F240" s="77"/>
      <c r="G240" s="72"/>
      <c r="H240" s="72"/>
      <c r="I240" s="72"/>
      <c r="K240" s="71"/>
    </row>
    <row r="241" spans="1:26" ht="12.75" hidden="1" customHeight="1" x14ac:dyDescent="0.2">
      <c r="B241" s="76" t="str">
        <f>$J$23</f>
        <v/>
      </c>
      <c r="C241" s="75"/>
      <c r="D241" s="65" t="str">
        <f>IF(C241&lt;&gt;"",VLOOKUP(C241,'Dummy Table'!$B$3:$C$30,2,FALSE),"")</f>
        <v/>
      </c>
      <c r="E241" s="65" t="str">
        <f>IF(C241&lt;&gt;"",VLOOKUP(C241,'Dummy Table'!$B$3:$D$30,3,FALSE),"")</f>
        <v/>
      </c>
      <c r="F241" s="80"/>
      <c r="G241" s="72"/>
      <c r="H241" s="72"/>
      <c r="I241" s="72"/>
      <c r="K241" s="71"/>
    </row>
    <row r="242" spans="1:26" s="79" customFormat="1" ht="12.75" hidden="1" customHeight="1" x14ac:dyDescent="0.2">
      <c r="A242" s="62"/>
      <c r="B242" s="76" t="str">
        <f>IF(F242="",$J$24,"Ret")</f>
        <v/>
      </c>
      <c r="C242" s="75"/>
      <c r="D242" s="65" t="str">
        <f>IF(C242&lt;&gt;"",VLOOKUP(C242,'Dummy Table'!$B$3:$C$30,2,FALSE),"")</f>
        <v/>
      </c>
      <c r="E242" s="65" t="str">
        <f>IF(C242&lt;&gt;"",VLOOKUP(C242,'Dummy Table'!$B$3:$D$30,3,FALSE),"")</f>
        <v/>
      </c>
      <c r="F242" s="81"/>
      <c r="G242" s="72"/>
      <c r="H242" s="72"/>
      <c r="I242" s="72"/>
      <c r="J242" s="73"/>
      <c r="K242" s="71"/>
      <c r="L242" s="78"/>
      <c r="M242" s="69"/>
      <c r="N242" s="69"/>
      <c r="O242" s="69"/>
      <c r="P242" s="68"/>
      <c r="Q242" s="68"/>
      <c r="R242" s="68"/>
      <c r="S242" s="78"/>
      <c r="T242" s="78"/>
      <c r="U242" s="78"/>
      <c r="V242" s="78"/>
      <c r="W242" s="78"/>
      <c r="X242" s="78"/>
      <c r="Y242" s="78"/>
      <c r="Z242" s="78"/>
    </row>
    <row r="243" spans="1:26" ht="12.75" hidden="1" customHeight="1" x14ac:dyDescent="0.2">
      <c r="B243" s="76" t="str">
        <f>IF(F243="",$J$25,"Ret")</f>
        <v/>
      </c>
      <c r="C243" s="75"/>
      <c r="D243" s="65" t="str">
        <f>IF(C243&lt;&gt;"",VLOOKUP(C243,'Dummy Table'!$B$3:$C$30,2,FALSE),"")</f>
        <v/>
      </c>
      <c r="E243" s="65" t="str">
        <f>IF(C243&lt;&gt;"",VLOOKUP(C243,'Dummy Table'!$B$3:$D$30,3,FALSE),"")</f>
        <v/>
      </c>
      <c r="F243" s="81"/>
      <c r="G243" s="72"/>
      <c r="H243" s="72"/>
      <c r="I243" s="72"/>
      <c r="K243" s="71"/>
    </row>
    <row r="244" spans="1:26" x14ac:dyDescent="0.2">
      <c r="B244" s="52" t="s">
        <v>248</v>
      </c>
      <c r="C244" s="53" t="s">
        <v>334</v>
      </c>
      <c r="D244" s="54" t="str">
        <f>IF(C244&lt;&gt;"",VLOOKUP(C244,'Dummy Table'!$B$3:$C$30,2,FALSE),"")</f>
        <v>Austrália</v>
      </c>
      <c r="E244" s="54" t="str">
        <f>IF(C244&lt;&gt;"",VLOOKUP(C244,'Dummy Table'!$B$3:$D$30,3,FALSE),"")</f>
        <v>McLaren 🏆</v>
      </c>
      <c r="F244" s="55"/>
      <c r="H244" s="72"/>
      <c r="K244" s="71"/>
    </row>
    <row r="245" spans="1:26" x14ac:dyDescent="0.2">
      <c r="B245" s="56" t="s">
        <v>238</v>
      </c>
      <c r="C245" s="57" t="s">
        <v>305</v>
      </c>
      <c r="D245" s="54" t="str">
        <f>IF(C245&lt;&gt;"",VLOOKUP(C245,'Dummy Table'!$B$3:$C$30,2,FALSE),"")</f>
        <v>Holanda</v>
      </c>
      <c r="E245" s="54" t="str">
        <f>IF(C245&lt;&gt;"",VLOOKUP(C245,'Dummy Table'!$B$3:$D$30,3,FALSE),"")</f>
        <v>Red Bull</v>
      </c>
      <c r="F245" s="58"/>
      <c r="H245" s="66">
        <f>IF(C245="",F245,0)</f>
        <v>0</v>
      </c>
      <c r="K245" s="71"/>
    </row>
    <row r="246" spans="1:26" x14ac:dyDescent="0.2">
      <c r="A246" s="62">
        <v>8</v>
      </c>
      <c r="B246" s="88">
        <f>VLOOKUP($A246,'Calendário atual'!$A$2:$E$30,2,FALSE)</f>
        <v>45802</v>
      </c>
      <c r="C246" s="162" t="str">
        <f>VLOOKUP($A246,'Calendário atual'!$A$2:$E$30,4,FALSE)</f>
        <v>FORMULA 1 TAG HEUER GRAND PRIX DE MONACO 2025</v>
      </c>
      <c r="D246" s="162"/>
      <c r="E246" s="162"/>
      <c r="F246" s="88" t="str">
        <f>VLOOKUP($A246,'Calendário atual'!$A$2:$E$30,3,FALSE)</f>
        <v>Mônaco</v>
      </c>
      <c r="G246" s="72"/>
      <c r="H246" s="72"/>
      <c r="I246" s="72"/>
      <c r="K246" s="71"/>
    </row>
    <row r="247" spans="1:26" x14ac:dyDescent="0.2">
      <c r="B247" s="61" t="s">
        <v>14</v>
      </c>
      <c r="C247" s="61" t="s">
        <v>29</v>
      </c>
      <c r="D247" s="61" t="s">
        <v>16</v>
      </c>
      <c r="E247" s="61" t="s">
        <v>17</v>
      </c>
      <c r="F247" s="61" t="s">
        <v>18</v>
      </c>
      <c r="K247" s="71"/>
      <c r="M247" s="83"/>
      <c r="N247" s="83"/>
      <c r="O247" s="83"/>
      <c r="P247" s="78"/>
      <c r="Q247" s="78"/>
      <c r="R247" s="78"/>
    </row>
    <row r="248" spans="1:26" x14ac:dyDescent="0.2">
      <c r="B248" s="59">
        <f>$J$2</f>
        <v>1</v>
      </c>
      <c r="C248" s="48" t="s">
        <v>316</v>
      </c>
      <c r="D248" s="49" t="str">
        <f>IF(C248&lt;&gt;"",VLOOKUP(C248,'Dummy Table'!$B$3:$C$30,2,FALSE),"")</f>
        <v>Inglaterra</v>
      </c>
      <c r="E248" s="49" t="str">
        <f>IF(C248&lt;&gt;"",VLOOKUP(C248,'Dummy Table'!$B$3:$D$30,3,FALSE),"")</f>
        <v>McLaren 🏆</v>
      </c>
      <c r="F248" s="50">
        <v>25</v>
      </c>
      <c r="G248" s="66">
        <f>IF(C248="",F248,0)</f>
        <v>0</v>
      </c>
      <c r="H248" s="66">
        <f>IF(C248="",F248,0)</f>
        <v>0</v>
      </c>
      <c r="I248" s="66">
        <f>IF(C248="",1,0)</f>
        <v>0</v>
      </c>
      <c r="K248" s="71"/>
    </row>
    <row r="249" spans="1:26" x14ac:dyDescent="0.2">
      <c r="B249" s="60">
        <f>$J$3</f>
        <v>2</v>
      </c>
      <c r="C249" s="48" t="s">
        <v>313</v>
      </c>
      <c r="D249" s="49" t="str">
        <f>IF(C249&lt;&gt;"",VLOOKUP(C249,'Dummy Table'!$B$3:$C$30,2,FALSE),"")</f>
        <v>Mônaco</v>
      </c>
      <c r="E249" s="49" t="str">
        <f>IF(C249&lt;&gt;"",VLOOKUP(C249,'Dummy Table'!$B$3:$D$30,3,FALSE),"")</f>
        <v>Ferrari</v>
      </c>
      <c r="F249" s="50">
        <v>18</v>
      </c>
      <c r="H249" s="66">
        <f>IF(C249="",F249,0)</f>
        <v>0</v>
      </c>
      <c r="K249" s="71"/>
    </row>
    <row r="250" spans="1:26" x14ac:dyDescent="0.2">
      <c r="B250" s="60">
        <f>$J$4</f>
        <v>3</v>
      </c>
      <c r="C250" s="48" t="s">
        <v>334</v>
      </c>
      <c r="D250" s="49" t="str">
        <f>IF(C250&lt;&gt;"",VLOOKUP(C250,'Dummy Table'!$B$3:$C$30,2,FALSE),"")</f>
        <v>Austrália</v>
      </c>
      <c r="E250" s="49" t="str">
        <f>IF(C250&lt;&gt;"",VLOOKUP(C250,'Dummy Table'!$B$3:$D$30,3,FALSE),"")</f>
        <v>McLaren 🏆</v>
      </c>
      <c r="F250" s="50">
        <v>15</v>
      </c>
    </row>
    <row r="251" spans="1:26" x14ac:dyDescent="0.2">
      <c r="B251" s="60">
        <f>$J$5</f>
        <v>4</v>
      </c>
      <c r="C251" s="48" t="s">
        <v>305</v>
      </c>
      <c r="D251" s="49" t="str">
        <f>IF(C251&lt;&gt;"",VLOOKUP(C251,'Dummy Table'!$B$3:$C$30,2,FALSE),"")</f>
        <v>Holanda</v>
      </c>
      <c r="E251" s="49" t="str">
        <f>IF(C251&lt;&gt;"",VLOOKUP(C251,'Dummy Table'!$B$3:$D$30,3,FALSE),"")</f>
        <v>Red Bull</v>
      </c>
      <c r="F251" s="50">
        <v>12</v>
      </c>
      <c r="K251" s="78"/>
    </row>
    <row r="252" spans="1:26" x14ac:dyDescent="0.2">
      <c r="B252" s="60">
        <f>$J$6</f>
        <v>5</v>
      </c>
      <c r="C252" s="48" t="s">
        <v>1</v>
      </c>
      <c r="D252" s="49" t="str">
        <f>IF(C252&lt;&gt;"",VLOOKUP(C252,'Dummy Table'!$B$3:$C$30,2,FALSE),"")</f>
        <v>Inglaterra</v>
      </c>
      <c r="E252" s="49" t="str">
        <f>IF(C252&lt;&gt;"",VLOOKUP(C252,'Dummy Table'!$B$3:$D$30,3,FALSE),"")</f>
        <v>Ferrari</v>
      </c>
      <c r="F252" s="50">
        <v>10</v>
      </c>
    </row>
    <row r="253" spans="1:26" x14ac:dyDescent="0.2">
      <c r="B253" s="60">
        <f>$J$7</f>
        <v>6</v>
      </c>
      <c r="C253" s="48" t="s">
        <v>341</v>
      </c>
      <c r="D253" s="49" t="str">
        <f>IF(C253&lt;&gt;"",VLOOKUP(C253,'Dummy Table'!$B$3:$C$30,2,FALSE),"")</f>
        <v>França</v>
      </c>
      <c r="E253" s="49" t="str">
        <f>IF(C253&lt;&gt;"",VLOOKUP(C253,'Dummy Table'!$B$3:$D$30,3,FALSE),"")</f>
        <v>Racing Bulls</v>
      </c>
      <c r="F253" s="50">
        <v>8</v>
      </c>
      <c r="K253" s="71"/>
    </row>
    <row r="254" spans="1:26" x14ac:dyDescent="0.2">
      <c r="B254" s="60">
        <f>$J$8</f>
        <v>7</v>
      </c>
      <c r="C254" s="48" t="s">
        <v>319</v>
      </c>
      <c r="D254" s="49" t="str">
        <f>IF(C254&lt;&gt;"",VLOOKUP(C254,'Dummy Table'!$B$3:$C$30,2,FALSE),"")</f>
        <v>França</v>
      </c>
      <c r="E254" s="49" t="str">
        <f>IF(C254&lt;&gt;"",VLOOKUP(C254,'Dummy Table'!$B$3:$D$30,3,FALSE),"")</f>
        <v>Haas</v>
      </c>
      <c r="F254" s="50">
        <v>6</v>
      </c>
      <c r="K254" s="71"/>
    </row>
    <row r="255" spans="1:26" x14ac:dyDescent="0.2">
      <c r="B255" s="60">
        <f>$J$9</f>
        <v>8</v>
      </c>
      <c r="C255" s="48" t="s">
        <v>335</v>
      </c>
      <c r="D255" s="49" t="str">
        <f>IF(C255&lt;&gt;"",VLOOKUP(C255,'Dummy Table'!$B$3:$C$30,2,FALSE),"")</f>
        <v>Austrália</v>
      </c>
      <c r="E255" s="49" t="str">
        <f>IF(C255&lt;&gt;"",VLOOKUP(C255,'Dummy Table'!$B$3:$D$30,3,FALSE),"")</f>
        <v>Racing Bulls</v>
      </c>
      <c r="F255" s="50">
        <v>4</v>
      </c>
      <c r="K255" s="71"/>
    </row>
    <row r="256" spans="1:26" s="79" customFormat="1" x14ac:dyDescent="0.2">
      <c r="A256" s="62"/>
      <c r="B256" s="60">
        <f>$J$10</f>
        <v>9</v>
      </c>
      <c r="C256" s="48" t="s">
        <v>315</v>
      </c>
      <c r="D256" s="49" t="str">
        <f>IF(C256&lt;&gt;"",VLOOKUP(C256,'Dummy Table'!$B$3:$C$30,2,FALSE),"")</f>
        <v>Tailandia</v>
      </c>
      <c r="E256" s="49" t="str">
        <f>IF(C256&lt;&gt;"",VLOOKUP(C256,'Dummy Table'!$B$3:$D$30,3,FALSE),"")</f>
        <v>Williams</v>
      </c>
      <c r="F256" s="50">
        <v>2</v>
      </c>
      <c r="G256" s="66"/>
      <c r="H256" s="66"/>
      <c r="I256" s="66"/>
      <c r="J256" s="73"/>
      <c r="K256" s="71"/>
      <c r="L256" s="78"/>
      <c r="M256" s="69"/>
      <c r="N256" s="69"/>
      <c r="O256" s="69"/>
      <c r="P256" s="68"/>
      <c r="Q256" s="68"/>
      <c r="R256" s="68"/>
      <c r="S256" s="78"/>
      <c r="T256" s="78"/>
      <c r="U256" s="78"/>
      <c r="V256" s="78"/>
      <c r="W256" s="78"/>
      <c r="X256" s="78"/>
      <c r="Y256" s="78"/>
      <c r="Z256" s="78"/>
    </row>
    <row r="257" spans="1:26" x14ac:dyDescent="0.2">
      <c r="B257" s="60">
        <f>$J$11</f>
        <v>10</v>
      </c>
      <c r="C257" s="48" t="s">
        <v>343</v>
      </c>
      <c r="D257" s="49" t="str">
        <f>IF(C257&lt;&gt;"",VLOOKUP(C257,'Dummy Table'!$B$3:$C$30,2,FALSE),"")</f>
        <v>Espanha</v>
      </c>
      <c r="E257" s="49" t="str">
        <f>IF(C257&lt;&gt;"",VLOOKUP(C257,'Dummy Table'!$B$3:$D$30,3,FALSE),"")</f>
        <v>Williams</v>
      </c>
      <c r="F257" s="50">
        <v>1</v>
      </c>
      <c r="K257" s="71"/>
    </row>
    <row r="258" spans="1:26" x14ac:dyDescent="0.2">
      <c r="B258" s="60">
        <f>$J$12</f>
        <v>11</v>
      </c>
      <c r="C258" s="48" t="s">
        <v>394</v>
      </c>
      <c r="D258" s="49" t="str">
        <f>IF(C258&lt;&gt;"",VLOOKUP(C258,'Dummy Table'!$B$3:$C$30,2,FALSE),"")</f>
        <v>Inglaterra</v>
      </c>
      <c r="E258" s="49" t="str">
        <f>IF(C258&lt;&gt;"",VLOOKUP(C258,'Dummy Table'!$B$3:$D$30,3,FALSE),"")</f>
        <v>Mercedes</v>
      </c>
      <c r="F258" s="51"/>
      <c r="K258" s="71"/>
    </row>
    <row r="259" spans="1:26" x14ac:dyDescent="0.2">
      <c r="B259" s="60">
        <f>$J$13</f>
        <v>12</v>
      </c>
      <c r="C259" s="48" t="s">
        <v>338</v>
      </c>
      <c r="D259" s="49" t="str">
        <f>IF(C259&lt;&gt;"",VLOOKUP(C259,'Dummy Table'!$B$3:$C$30,2,FALSE),"")</f>
        <v>Inglaterra</v>
      </c>
      <c r="E259" s="49" t="str">
        <f>IF(C259&lt;&gt;"",VLOOKUP(C259,'Dummy Table'!$B$3:$D$30,3,FALSE),"")</f>
        <v>Haas</v>
      </c>
      <c r="F259" s="51"/>
      <c r="K259" s="71"/>
    </row>
    <row r="260" spans="1:26" x14ac:dyDescent="0.2">
      <c r="B260" s="60">
        <f>$J$14</f>
        <v>13</v>
      </c>
      <c r="C260" s="48" t="s">
        <v>400</v>
      </c>
      <c r="D260" s="49" t="str">
        <f>IF(C260&lt;&gt;"",VLOOKUP(C260,'Dummy Table'!$B$3:$C$30,2,FALSE),"")</f>
        <v>Argentina</v>
      </c>
      <c r="E260" s="49" t="str">
        <f>IF(C260&lt;&gt;"",VLOOKUP(C260,'Dummy Table'!$B$3:$D$30,3,FALSE),"")</f>
        <v>Alpine</v>
      </c>
      <c r="F260" s="51"/>
      <c r="G260" s="72"/>
      <c r="H260" s="72"/>
      <c r="I260" s="72"/>
      <c r="K260" s="71"/>
    </row>
    <row r="261" spans="1:26" x14ac:dyDescent="0.2">
      <c r="B261" s="60">
        <f>$J$15</f>
        <v>14</v>
      </c>
      <c r="C261" s="48" t="s">
        <v>344</v>
      </c>
      <c r="D261" s="49" t="str">
        <f>IF(C261&lt;&gt;"",VLOOKUP(C261,'Dummy Table'!$B$3:$C$30,2,FALSE),"")</f>
        <v>Brasil</v>
      </c>
      <c r="E261" s="49" t="str">
        <f>IF(C261&lt;&gt;"",VLOOKUP(C261,'Dummy Table'!$B$3:$D$30,3,FALSE),"")</f>
        <v>Kick Sauber</v>
      </c>
      <c r="F261" s="51"/>
      <c r="G261" s="72"/>
      <c r="H261" s="72"/>
      <c r="I261" s="72"/>
      <c r="K261" s="71"/>
      <c r="M261" s="83"/>
      <c r="N261" s="83"/>
      <c r="O261" s="83"/>
      <c r="P261" s="78"/>
      <c r="Q261" s="78"/>
      <c r="R261" s="78"/>
    </row>
    <row r="262" spans="1:26" x14ac:dyDescent="0.2">
      <c r="B262" s="60">
        <f>$J$16</f>
        <v>15</v>
      </c>
      <c r="C262" s="48" t="s">
        <v>311</v>
      </c>
      <c r="D262" s="49" t="str">
        <f>IF(C262&lt;&gt;"",VLOOKUP(C262,'Dummy Table'!$B$3:$C$30,2,FALSE),"")</f>
        <v>Canadá</v>
      </c>
      <c r="E262" s="49" t="str">
        <f>IF(C262&lt;&gt;"",VLOOKUP(C262,'Dummy Table'!$B$3:$D$30,3,FALSE),"")</f>
        <v>Aston Martin</v>
      </c>
      <c r="F262" s="51"/>
      <c r="G262" s="72"/>
      <c r="H262" s="72"/>
      <c r="I262" s="72"/>
      <c r="K262" s="71"/>
    </row>
    <row r="263" spans="1:26" x14ac:dyDescent="0.2">
      <c r="B263" s="60">
        <f>$J$17</f>
        <v>16</v>
      </c>
      <c r="C263" s="48" t="s">
        <v>257</v>
      </c>
      <c r="D263" s="49" t="str">
        <f>IF(C263&lt;&gt;"",VLOOKUP(C263,'Dummy Table'!$B$3:$C$30,2,FALSE),"")</f>
        <v>Alemanha</v>
      </c>
      <c r="E263" s="49" t="str">
        <f>IF(C263&lt;&gt;"",VLOOKUP(C263,'Dummy Table'!$B$3:$D$30,3,FALSE),"")</f>
        <v>Kick Sauber</v>
      </c>
      <c r="F263" s="51"/>
      <c r="G263" s="72"/>
      <c r="H263" s="72"/>
      <c r="I263" s="72"/>
      <c r="K263" s="71"/>
    </row>
    <row r="264" spans="1:26" x14ac:dyDescent="0.2">
      <c r="B264" s="60">
        <f>$J$18</f>
        <v>17</v>
      </c>
      <c r="C264" s="48" t="s">
        <v>339</v>
      </c>
      <c r="D264" s="49" t="str">
        <f>IF(C264&lt;&gt;"",VLOOKUP(C264,'Dummy Table'!$B$3:$C$30,2,FALSE),"")</f>
        <v>Japão</v>
      </c>
      <c r="E264" s="49" t="str">
        <f>IF(C264&lt;&gt;"",VLOOKUP(C264,'Dummy Table'!$B$3:$D$30,3,FALSE),"")</f>
        <v>Red Bull</v>
      </c>
      <c r="F264" s="51"/>
      <c r="G264" s="72"/>
      <c r="H264" s="72"/>
      <c r="I264" s="72"/>
    </row>
    <row r="265" spans="1:26" x14ac:dyDescent="0.2">
      <c r="B265" s="60">
        <f>$J$19</f>
        <v>18</v>
      </c>
      <c r="C265" s="48" t="s">
        <v>336</v>
      </c>
      <c r="D265" s="49" t="str">
        <f>IF(C265&lt;&gt;"",VLOOKUP(C265,'Dummy Table'!$B$3:$C$30,2,FALSE),"")</f>
        <v>Itália</v>
      </c>
      <c r="E265" s="49" t="str">
        <f>IF(C265&lt;&gt;"",VLOOKUP(C265,'Dummy Table'!$B$3:$D$30,3,FALSE),"")</f>
        <v>Mercedes</v>
      </c>
      <c r="F265" s="51"/>
      <c r="G265" s="72"/>
      <c r="H265" s="72"/>
      <c r="I265" s="72"/>
      <c r="K265" s="78"/>
    </row>
    <row r="266" spans="1:26" x14ac:dyDescent="0.2">
      <c r="B266" s="60">
        <f>$J$20</f>
        <v>19</v>
      </c>
      <c r="C266" s="48" t="s">
        <v>30</v>
      </c>
      <c r="D266" s="49" t="str">
        <f>IF(C266&lt;&gt;"",VLOOKUP(C266,'Dummy Table'!$B$3:$C$30,2,FALSE),"")</f>
        <v>Espanha</v>
      </c>
      <c r="E266" s="49" t="str">
        <f>IF(C266&lt;&gt;"",VLOOKUP(C266,'Dummy Table'!$B$3:$D$30,3,FALSE),"")</f>
        <v>Aston Martin</v>
      </c>
      <c r="F266" s="51" t="s">
        <v>320</v>
      </c>
      <c r="G266" s="72"/>
      <c r="H266" s="72"/>
      <c r="I266" s="72"/>
    </row>
    <row r="267" spans="1:26" x14ac:dyDescent="0.2">
      <c r="B267" s="60">
        <f>$J$21</f>
        <v>20</v>
      </c>
      <c r="C267" s="48" t="s">
        <v>312</v>
      </c>
      <c r="D267" s="49" t="str">
        <f>IF(C267&lt;&gt;"",VLOOKUP(C267,'Dummy Table'!$B$3:$C$30,2,FALSE),"")</f>
        <v>França</v>
      </c>
      <c r="E267" s="49" t="str">
        <f>IF(C267&lt;&gt;"",VLOOKUP(C267,'Dummy Table'!$B$3:$D$30,3,FALSE),"")</f>
        <v>Alpine</v>
      </c>
      <c r="F267" s="51" t="s">
        <v>320</v>
      </c>
      <c r="G267" s="72"/>
      <c r="H267" s="72"/>
      <c r="I267" s="72"/>
      <c r="K267" s="71"/>
    </row>
    <row r="268" spans="1:26" ht="12.75" hidden="1" customHeight="1" x14ac:dyDescent="0.2">
      <c r="B268" s="76">
        <f>$J$22</f>
        <v>21</v>
      </c>
      <c r="C268" s="75"/>
      <c r="D268" s="65" t="str">
        <f>IF(C268&lt;&gt;"",VLOOKUP(C268,'Dummy Table'!$B$3:$C$30,2,FALSE),"")</f>
        <v/>
      </c>
      <c r="E268" s="65" t="str">
        <f>IF(C268&lt;&gt;"",VLOOKUP(C268,'Dummy Table'!$B$3:$D$30,3,FALSE),"")</f>
        <v/>
      </c>
      <c r="F268" s="77"/>
      <c r="G268" s="72"/>
      <c r="H268" s="72"/>
      <c r="I268" s="72"/>
      <c r="K268" s="71"/>
    </row>
    <row r="269" spans="1:26" ht="12.75" hidden="1" customHeight="1" x14ac:dyDescent="0.2">
      <c r="B269" s="76" t="str">
        <f>$J$23</f>
        <v/>
      </c>
      <c r="C269" s="75"/>
      <c r="D269" s="65" t="str">
        <f>IF(C269&lt;&gt;"",VLOOKUP(C269,'Dummy Table'!$B$3:$C$30,2,FALSE),"")</f>
        <v/>
      </c>
      <c r="E269" s="65" t="str">
        <f>IF(C269&lt;&gt;"",VLOOKUP(C269,'Dummy Table'!$B$3:$D$30,3,FALSE),"")</f>
        <v/>
      </c>
      <c r="F269" s="80"/>
      <c r="G269" s="72"/>
      <c r="H269" s="72"/>
      <c r="I269" s="72"/>
      <c r="K269" s="71"/>
    </row>
    <row r="270" spans="1:26" s="79" customFormat="1" ht="12.75" hidden="1" customHeight="1" x14ac:dyDescent="0.2">
      <c r="A270" s="62"/>
      <c r="B270" s="76" t="str">
        <f>IF(F270="",$J$24,"Ret")</f>
        <v/>
      </c>
      <c r="C270" s="75"/>
      <c r="D270" s="65" t="str">
        <f>IF(C270&lt;&gt;"",VLOOKUP(C270,'Dummy Table'!$B$3:$C$30,2,FALSE),"")</f>
        <v/>
      </c>
      <c r="E270" s="65" t="str">
        <f>IF(C270&lt;&gt;"",VLOOKUP(C270,'Dummy Table'!$B$3:$D$30,3,FALSE),"")</f>
        <v/>
      </c>
      <c r="F270" s="81"/>
      <c r="G270" s="72"/>
      <c r="H270" s="72"/>
      <c r="I270" s="72"/>
      <c r="J270" s="73"/>
      <c r="K270" s="71"/>
      <c r="L270" s="78"/>
      <c r="M270" s="69"/>
      <c r="N270" s="69"/>
      <c r="O270" s="69"/>
      <c r="P270" s="68"/>
      <c r="Q270" s="68"/>
      <c r="R270" s="68"/>
      <c r="S270" s="78"/>
      <c r="T270" s="78"/>
      <c r="U270" s="78"/>
      <c r="V270" s="78"/>
      <c r="W270" s="78"/>
      <c r="X270" s="78"/>
      <c r="Y270" s="78"/>
      <c r="Z270" s="78"/>
    </row>
    <row r="271" spans="1:26" ht="12.75" hidden="1" customHeight="1" x14ac:dyDescent="0.2">
      <c r="B271" s="76" t="str">
        <f>IF(F271="",$J$25,"Ret")</f>
        <v/>
      </c>
      <c r="C271" s="75"/>
      <c r="D271" s="65" t="str">
        <f>IF(C271&lt;&gt;"",VLOOKUP(C271,'Dummy Table'!$B$3:$C$30,2,FALSE),"")</f>
        <v/>
      </c>
      <c r="E271" s="65" t="str">
        <f>IF(C271&lt;&gt;"",VLOOKUP(C271,'Dummy Table'!$B$3:$D$30,3,FALSE),"")</f>
        <v/>
      </c>
      <c r="F271" s="81"/>
      <c r="G271" s="72"/>
      <c r="H271" s="72"/>
      <c r="I271" s="72"/>
      <c r="K271" s="71"/>
    </row>
    <row r="272" spans="1:26" x14ac:dyDescent="0.2">
      <c r="B272" s="52" t="s">
        <v>248</v>
      </c>
      <c r="C272" s="53" t="s">
        <v>316</v>
      </c>
      <c r="D272" s="54" t="str">
        <f>IF(C272&lt;&gt;"",VLOOKUP(C272,'Dummy Table'!$B$3:$C$30,2,FALSE),"")</f>
        <v>Inglaterra</v>
      </c>
      <c r="E272" s="54" t="str">
        <f>IF(C272&lt;&gt;"",VLOOKUP(C272,'Dummy Table'!$B$3:$D$30,3,FALSE),"")</f>
        <v>McLaren 🏆</v>
      </c>
      <c r="F272" s="55"/>
      <c r="H272" s="72"/>
      <c r="K272" s="71"/>
    </row>
    <row r="273" spans="1:26" x14ac:dyDescent="0.2">
      <c r="B273" s="56" t="s">
        <v>238</v>
      </c>
      <c r="C273" s="57" t="s">
        <v>316</v>
      </c>
      <c r="D273" s="54" t="str">
        <f>IF(C273&lt;&gt;"",VLOOKUP(C273,'Dummy Table'!$B$3:$C$30,2,FALSE),"")</f>
        <v>Inglaterra</v>
      </c>
      <c r="E273" s="54" t="str">
        <f>IF(C273&lt;&gt;"",VLOOKUP(C273,'Dummy Table'!$B$3:$D$30,3,FALSE),"")</f>
        <v>McLaren 🏆</v>
      </c>
      <c r="F273" s="58"/>
      <c r="H273" s="66">
        <f>IF(C273="",F273,0)</f>
        <v>0</v>
      </c>
      <c r="K273" s="71"/>
    </row>
    <row r="274" spans="1:26" x14ac:dyDescent="0.2">
      <c r="A274" s="62">
        <v>9</v>
      </c>
      <c r="B274" s="88">
        <f>VLOOKUP($A274,'Calendário atual'!$A$2:$E$30,2,FALSE)</f>
        <v>45809</v>
      </c>
      <c r="C274" s="162" t="str">
        <f>VLOOKUP($A274,'Calendário atual'!$A$2:$E$30,4,FALSE)</f>
        <v>FORMULA 1 ARAMCO GRAN PREMIO DE ESPAÑA 2025</v>
      </c>
      <c r="D274" s="162"/>
      <c r="E274" s="162"/>
      <c r="F274" s="88" t="str">
        <f>VLOOKUP($A274,'Calendário atual'!$A$2:$E$30,3,FALSE)</f>
        <v>Espanha</v>
      </c>
      <c r="G274" s="72"/>
      <c r="H274" s="72"/>
      <c r="I274" s="72"/>
      <c r="K274" s="71"/>
    </row>
    <row r="275" spans="1:26" x14ac:dyDescent="0.2">
      <c r="B275" s="61" t="s">
        <v>14</v>
      </c>
      <c r="C275" s="61" t="s">
        <v>29</v>
      </c>
      <c r="D275" s="61" t="s">
        <v>16</v>
      </c>
      <c r="E275" s="61" t="s">
        <v>17</v>
      </c>
      <c r="F275" s="61" t="s">
        <v>18</v>
      </c>
      <c r="K275" s="71"/>
      <c r="M275" s="83"/>
      <c r="N275" s="83"/>
      <c r="O275" s="83"/>
      <c r="P275" s="78"/>
      <c r="Q275" s="78"/>
      <c r="R275" s="78"/>
    </row>
    <row r="276" spans="1:26" x14ac:dyDescent="0.2">
      <c r="B276" s="59">
        <f>$J$2</f>
        <v>1</v>
      </c>
      <c r="C276" s="48" t="s">
        <v>334</v>
      </c>
      <c r="D276" s="49" t="str">
        <f>IF(C276&lt;&gt;"",VLOOKUP(C276,'Dummy Table'!$B$3:$C$30,2,FALSE),"")</f>
        <v>Austrália</v>
      </c>
      <c r="E276" s="49" t="str">
        <f>IF(C276&lt;&gt;"",VLOOKUP(C276,'Dummy Table'!$B$3:$D$30,3,FALSE),"")</f>
        <v>McLaren 🏆</v>
      </c>
      <c r="F276" s="50">
        <v>25</v>
      </c>
      <c r="G276" s="66">
        <f>IF(C276="",F276,0)</f>
        <v>0</v>
      </c>
      <c r="H276" s="66">
        <f>IF(C276="",F276,0)</f>
        <v>0</v>
      </c>
      <c r="I276" s="66">
        <f>IF(C276="",1,0)</f>
        <v>0</v>
      </c>
      <c r="K276" s="71"/>
    </row>
    <row r="277" spans="1:26" x14ac:dyDescent="0.2">
      <c r="B277" s="60">
        <f>$J$3</f>
        <v>2</v>
      </c>
      <c r="C277" s="48" t="s">
        <v>316</v>
      </c>
      <c r="D277" s="49" t="str">
        <f>IF(C277&lt;&gt;"",VLOOKUP(C277,'Dummy Table'!$B$3:$C$30,2,FALSE),"")</f>
        <v>Inglaterra</v>
      </c>
      <c r="E277" s="49" t="str">
        <f>IF(C277&lt;&gt;"",VLOOKUP(C277,'Dummy Table'!$B$3:$D$30,3,FALSE),"")</f>
        <v>McLaren 🏆</v>
      </c>
      <c r="F277" s="50">
        <v>18</v>
      </c>
      <c r="H277" s="66">
        <f>IF(C277="",F277,0)</f>
        <v>0</v>
      </c>
      <c r="K277" s="71"/>
    </row>
    <row r="278" spans="1:26" x14ac:dyDescent="0.2">
      <c r="B278" s="60">
        <f>$J$4</f>
        <v>3</v>
      </c>
      <c r="C278" s="48" t="s">
        <v>313</v>
      </c>
      <c r="D278" s="49" t="str">
        <f>IF(C278&lt;&gt;"",VLOOKUP(C278,'Dummy Table'!$B$3:$C$30,2,FALSE),"")</f>
        <v>Mônaco</v>
      </c>
      <c r="E278" s="49" t="str">
        <f>IF(C278&lt;&gt;"",VLOOKUP(C278,'Dummy Table'!$B$3:$D$30,3,FALSE),"")</f>
        <v>Ferrari</v>
      </c>
      <c r="F278" s="50">
        <v>15</v>
      </c>
    </row>
    <row r="279" spans="1:26" x14ac:dyDescent="0.2">
      <c r="B279" s="60">
        <f>$J$5</f>
        <v>4</v>
      </c>
      <c r="C279" s="48" t="s">
        <v>394</v>
      </c>
      <c r="D279" s="49" t="str">
        <f>IF(C279&lt;&gt;"",VLOOKUP(C279,'Dummy Table'!$B$3:$C$30,2,FALSE),"")</f>
        <v>Inglaterra</v>
      </c>
      <c r="E279" s="49" t="str">
        <f>IF(C279&lt;&gt;"",VLOOKUP(C279,'Dummy Table'!$B$3:$D$30,3,FALSE),"")</f>
        <v>Mercedes</v>
      </c>
      <c r="F279" s="50">
        <v>12</v>
      </c>
      <c r="K279" s="78"/>
    </row>
    <row r="280" spans="1:26" x14ac:dyDescent="0.2">
      <c r="B280" s="60">
        <f>$J$6</f>
        <v>5</v>
      </c>
      <c r="C280" s="48" t="s">
        <v>257</v>
      </c>
      <c r="D280" s="49" t="str">
        <f>IF(C280&lt;&gt;"",VLOOKUP(C280,'Dummy Table'!$B$3:$C$30,2,FALSE),"")</f>
        <v>Alemanha</v>
      </c>
      <c r="E280" s="49" t="str">
        <f>IF(C280&lt;&gt;"",VLOOKUP(C280,'Dummy Table'!$B$3:$D$30,3,FALSE),"")</f>
        <v>Kick Sauber</v>
      </c>
      <c r="F280" s="50">
        <v>10</v>
      </c>
    </row>
    <row r="281" spans="1:26" x14ac:dyDescent="0.2">
      <c r="B281" s="60">
        <f>$J$7</f>
        <v>6</v>
      </c>
      <c r="C281" s="48" t="s">
        <v>1</v>
      </c>
      <c r="D281" s="49" t="str">
        <f>IF(C281&lt;&gt;"",VLOOKUP(C281,'Dummy Table'!$B$3:$C$30,2,FALSE),"")</f>
        <v>Inglaterra</v>
      </c>
      <c r="E281" s="49" t="str">
        <f>IF(C281&lt;&gt;"",VLOOKUP(C281,'Dummy Table'!$B$3:$D$30,3,FALSE),"")</f>
        <v>Ferrari</v>
      </c>
      <c r="F281" s="50">
        <v>8</v>
      </c>
      <c r="K281" s="71"/>
    </row>
    <row r="282" spans="1:26" x14ac:dyDescent="0.2">
      <c r="B282" s="60">
        <f>$J$8</f>
        <v>7</v>
      </c>
      <c r="C282" s="48" t="s">
        <v>341</v>
      </c>
      <c r="D282" s="49" t="str">
        <f>IF(C282&lt;&gt;"",VLOOKUP(C282,'Dummy Table'!$B$3:$C$30,2,FALSE),"")</f>
        <v>França</v>
      </c>
      <c r="E282" s="49" t="str">
        <f>IF(C282&lt;&gt;"",VLOOKUP(C282,'Dummy Table'!$B$3:$D$30,3,FALSE),"")</f>
        <v>Racing Bulls</v>
      </c>
      <c r="F282" s="50">
        <v>6</v>
      </c>
      <c r="K282" s="71"/>
    </row>
    <row r="283" spans="1:26" x14ac:dyDescent="0.2">
      <c r="B283" s="60">
        <f>$J$9</f>
        <v>8</v>
      </c>
      <c r="C283" s="48" t="s">
        <v>312</v>
      </c>
      <c r="D283" s="49" t="str">
        <f>IF(C283&lt;&gt;"",VLOOKUP(C283,'Dummy Table'!$B$3:$C$30,2,FALSE),"")</f>
        <v>França</v>
      </c>
      <c r="E283" s="49" t="str">
        <f>IF(C283&lt;&gt;"",VLOOKUP(C283,'Dummy Table'!$B$3:$D$30,3,FALSE),"")</f>
        <v>Alpine</v>
      </c>
      <c r="F283" s="50">
        <v>4</v>
      </c>
      <c r="K283" s="71"/>
    </row>
    <row r="284" spans="1:26" s="79" customFormat="1" x14ac:dyDescent="0.2">
      <c r="A284" s="62"/>
      <c r="B284" s="60">
        <f>$J$10</f>
        <v>9</v>
      </c>
      <c r="C284" s="48" t="s">
        <v>30</v>
      </c>
      <c r="D284" s="49" t="str">
        <f>IF(C284&lt;&gt;"",VLOOKUP(C284,'Dummy Table'!$B$3:$C$30,2,FALSE),"")</f>
        <v>Espanha</v>
      </c>
      <c r="E284" s="49" t="str">
        <f>IF(C284&lt;&gt;"",VLOOKUP(C284,'Dummy Table'!$B$3:$D$30,3,FALSE),"")</f>
        <v>Aston Martin</v>
      </c>
      <c r="F284" s="50">
        <v>2</v>
      </c>
      <c r="G284" s="66"/>
      <c r="H284" s="66"/>
      <c r="I284" s="66"/>
      <c r="J284" s="73"/>
      <c r="K284" s="71"/>
      <c r="L284" s="78"/>
      <c r="M284" s="69"/>
      <c r="N284" s="69"/>
      <c r="O284" s="69"/>
      <c r="P284" s="68"/>
      <c r="Q284" s="68"/>
      <c r="R284" s="68"/>
      <c r="S284" s="78"/>
      <c r="T284" s="78"/>
      <c r="U284" s="78"/>
      <c r="V284" s="78"/>
      <c r="W284" s="78"/>
      <c r="X284" s="78"/>
      <c r="Y284" s="78"/>
      <c r="Z284" s="78"/>
    </row>
    <row r="285" spans="1:26" x14ac:dyDescent="0.2">
      <c r="B285" s="60">
        <f>$J$11</f>
        <v>10</v>
      </c>
      <c r="C285" s="48" t="s">
        <v>305</v>
      </c>
      <c r="D285" s="49" t="str">
        <f>IF(C285&lt;&gt;"",VLOOKUP(C285,'Dummy Table'!$B$3:$C$30,2,FALSE),"")</f>
        <v>Holanda</v>
      </c>
      <c r="E285" s="49" t="str">
        <f>IF(C285&lt;&gt;"",VLOOKUP(C285,'Dummy Table'!$B$3:$D$30,3,FALSE),"")</f>
        <v>Red Bull</v>
      </c>
      <c r="F285" s="50">
        <v>1</v>
      </c>
      <c r="K285" s="71"/>
    </row>
    <row r="286" spans="1:26" x14ac:dyDescent="0.2">
      <c r="B286" s="60">
        <f>$J$12</f>
        <v>11</v>
      </c>
      <c r="C286" s="48" t="s">
        <v>335</v>
      </c>
      <c r="D286" s="49" t="str">
        <f>IF(C286&lt;&gt;"",VLOOKUP(C286,'Dummy Table'!$B$3:$C$30,2,FALSE),"")</f>
        <v>Austrália</v>
      </c>
      <c r="E286" s="49" t="str">
        <f>IF(C286&lt;&gt;"",VLOOKUP(C286,'Dummy Table'!$B$3:$D$30,3,FALSE),"")</f>
        <v>Racing Bulls</v>
      </c>
      <c r="F286" s="51"/>
      <c r="K286" s="71"/>
    </row>
    <row r="287" spans="1:26" x14ac:dyDescent="0.2">
      <c r="B287" s="60">
        <f>$J$13</f>
        <v>12</v>
      </c>
      <c r="C287" s="48" t="s">
        <v>344</v>
      </c>
      <c r="D287" s="49" t="str">
        <f>IF(C287&lt;&gt;"",VLOOKUP(C287,'Dummy Table'!$B$3:$C$30,2,FALSE),"")</f>
        <v>Brasil</v>
      </c>
      <c r="E287" s="49" t="str">
        <f>IF(C287&lt;&gt;"",VLOOKUP(C287,'Dummy Table'!$B$3:$D$30,3,FALSE),"")</f>
        <v>Kick Sauber</v>
      </c>
      <c r="F287" s="51"/>
      <c r="K287" s="71"/>
    </row>
    <row r="288" spans="1:26" x14ac:dyDescent="0.2">
      <c r="B288" s="60">
        <f>$J$14</f>
        <v>13</v>
      </c>
      <c r="C288" s="48" t="s">
        <v>339</v>
      </c>
      <c r="D288" s="49" t="str">
        <f>IF(C288&lt;&gt;"",VLOOKUP(C288,'Dummy Table'!$B$3:$C$30,2,FALSE),"")</f>
        <v>Japão</v>
      </c>
      <c r="E288" s="49" t="str">
        <f>IF(C288&lt;&gt;"",VLOOKUP(C288,'Dummy Table'!$B$3:$D$30,3,FALSE),"")</f>
        <v>Red Bull</v>
      </c>
      <c r="F288" s="51"/>
      <c r="G288" s="72"/>
      <c r="H288" s="72"/>
      <c r="I288" s="72"/>
      <c r="K288" s="71"/>
    </row>
    <row r="289" spans="1:26" x14ac:dyDescent="0.2">
      <c r="B289" s="60">
        <f>$J$15</f>
        <v>14</v>
      </c>
      <c r="C289" s="48" t="s">
        <v>343</v>
      </c>
      <c r="D289" s="49" t="str">
        <f>IF(C289&lt;&gt;"",VLOOKUP(C289,'Dummy Table'!$B$3:$C$30,2,FALSE),"")</f>
        <v>Espanha</v>
      </c>
      <c r="E289" s="49" t="str">
        <f>IF(C289&lt;&gt;"",VLOOKUP(C289,'Dummy Table'!$B$3:$D$30,3,FALSE),"")</f>
        <v>Williams</v>
      </c>
      <c r="F289" s="51"/>
      <c r="G289" s="72"/>
      <c r="H289" s="72"/>
      <c r="I289" s="72"/>
      <c r="K289" s="71"/>
      <c r="M289" s="83"/>
      <c r="N289" s="83"/>
      <c r="O289" s="83"/>
      <c r="P289" s="78"/>
      <c r="Q289" s="78"/>
      <c r="R289" s="78"/>
    </row>
    <row r="290" spans="1:26" x14ac:dyDescent="0.2">
      <c r="B290" s="60">
        <f>$J$16</f>
        <v>15</v>
      </c>
      <c r="C290" s="48" t="s">
        <v>400</v>
      </c>
      <c r="D290" s="49" t="str">
        <f>IF(C290&lt;&gt;"",VLOOKUP(C290,'Dummy Table'!$B$3:$C$30,2,FALSE),"")</f>
        <v>Argentina</v>
      </c>
      <c r="E290" s="49" t="str">
        <f>IF(C290&lt;&gt;"",VLOOKUP(C290,'Dummy Table'!$B$3:$D$30,3,FALSE),"")</f>
        <v>Alpine</v>
      </c>
      <c r="F290" s="51"/>
      <c r="G290" s="72"/>
      <c r="H290" s="72"/>
      <c r="I290" s="72"/>
      <c r="K290" s="71"/>
    </row>
    <row r="291" spans="1:26" x14ac:dyDescent="0.2">
      <c r="B291" s="60">
        <f>$J$17</f>
        <v>16</v>
      </c>
      <c r="C291" s="48" t="s">
        <v>319</v>
      </c>
      <c r="D291" s="49" t="str">
        <f>IF(C291&lt;&gt;"",VLOOKUP(C291,'Dummy Table'!$B$3:$C$30,2,FALSE),"")</f>
        <v>França</v>
      </c>
      <c r="E291" s="49" t="str">
        <f>IF(C291&lt;&gt;"",VLOOKUP(C291,'Dummy Table'!$B$3:$D$30,3,FALSE),"")</f>
        <v>Haas</v>
      </c>
      <c r="F291" s="51"/>
      <c r="G291" s="72"/>
      <c r="H291" s="72"/>
      <c r="I291" s="72"/>
      <c r="K291" s="71"/>
    </row>
    <row r="292" spans="1:26" x14ac:dyDescent="0.2">
      <c r="B292" s="60">
        <f>$J$18</f>
        <v>17</v>
      </c>
      <c r="C292" s="48" t="s">
        <v>338</v>
      </c>
      <c r="D292" s="49" t="str">
        <f>IF(C292&lt;&gt;"",VLOOKUP(C292,'Dummy Table'!$B$3:$C$30,2,FALSE),"")</f>
        <v>Inglaterra</v>
      </c>
      <c r="E292" s="49" t="str">
        <f>IF(C292&lt;&gt;"",VLOOKUP(C292,'Dummy Table'!$B$3:$D$30,3,FALSE),"")</f>
        <v>Haas</v>
      </c>
      <c r="F292" s="51"/>
      <c r="G292" s="72"/>
      <c r="H292" s="72"/>
      <c r="I292" s="72"/>
    </row>
    <row r="293" spans="1:26" x14ac:dyDescent="0.2">
      <c r="B293" s="60">
        <f>$J$19</f>
        <v>18</v>
      </c>
      <c r="C293" s="48" t="s">
        <v>336</v>
      </c>
      <c r="D293" s="49" t="str">
        <f>IF(C293&lt;&gt;"",VLOOKUP(C293,'Dummy Table'!$B$3:$C$30,2,FALSE),"")</f>
        <v>Itália</v>
      </c>
      <c r="E293" s="49" t="str">
        <f>IF(C293&lt;&gt;"",VLOOKUP(C293,'Dummy Table'!$B$3:$D$30,3,FALSE),"")</f>
        <v>Mercedes</v>
      </c>
      <c r="F293" s="51" t="s">
        <v>320</v>
      </c>
      <c r="G293" s="72"/>
      <c r="H293" s="72"/>
      <c r="I293" s="72"/>
      <c r="K293" s="78"/>
    </row>
    <row r="294" spans="1:26" x14ac:dyDescent="0.2">
      <c r="B294" s="60">
        <f>$J$20</f>
        <v>19</v>
      </c>
      <c r="C294" s="48" t="s">
        <v>315</v>
      </c>
      <c r="D294" s="49" t="str">
        <f>IF(C294&lt;&gt;"",VLOOKUP(C294,'Dummy Table'!$B$3:$C$30,2,FALSE),"")</f>
        <v>Tailandia</v>
      </c>
      <c r="E294" s="49" t="str">
        <f>IF(C294&lt;&gt;"",VLOOKUP(C294,'Dummy Table'!$B$3:$D$30,3,FALSE),"")</f>
        <v>Williams</v>
      </c>
      <c r="F294" s="51" t="s">
        <v>320</v>
      </c>
      <c r="G294" s="72"/>
      <c r="H294" s="72"/>
      <c r="I294" s="72"/>
    </row>
    <row r="295" spans="1:26" x14ac:dyDescent="0.2">
      <c r="B295" s="60">
        <f>$J$21</f>
        <v>20</v>
      </c>
      <c r="C295" s="48" t="s">
        <v>311</v>
      </c>
      <c r="D295" s="49" t="str">
        <f>IF(C295&lt;&gt;"",VLOOKUP(C295,'Dummy Table'!$B$3:$C$30,2,FALSE),"")</f>
        <v>Canadá</v>
      </c>
      <c r="E295" s="49" t="str">
        <f>IF(C295&lt;&gt;"",VLOOKUP(C295,'Dummy Table'!$B$3:$D$30,3,FALSE),"")</f>
        <v>Aston Martin</v>
      </c>
      <c r="F295" s="51" t="s">
        <v>399</v>
      </c>
      <c r="G295" s="72"/>
      <c r="H295" s="72"/>
      <c r="I295" s="72"/>
      <c r="K295" s="71"/>
    </row>
    <row r="296" spans="1:26" ht="12.75" hidden="1" customHeight="1" x14ac:dyDescent="0.2">
      <c r="B296" s="76">
        <f>$J$22</f>
        <v>21</v>
      </c>
      <c r="C296" s="75"/>
      <c r="D296" s="65" t="str">
        <f>IF(C296&lt;&gt;"",VLOOKUP(C296,'Dummy Table'!$B$3:$C$30,2,FALSE),"")</f>
        <v/>
      </c>
      <c r="E296" s="65" t="str">
        <f>IF(C296&lt;&gt;"",VLOOKUP(C296,'Dummy Table'!$B$3:$D$30,3,FALSE),"")</f>
        <v/>
      </c>
      <c r="F296" s="77"/>
      <c r="G296" s="72"/>
      <c r="H296" s="72"/>
      <c r="I296" s="72"/>
      <c r="K296" s="71"/>
    </row>
    <row r="297" spans="1:26" ht="12.75" hidden="1" customHeight="1" x14ac:dyDescent="0.2">
      <c r="B297" s="76" t="str">
        <f>$J$23</f>
        <v/>
      </c>
      <c r="C297" s="75"/>
      <c r="D297" s="65" t="str">
        <f>IF(C297&lt;&gt;"",VLOOKUP(C297,'Dummy Table'!$B$3:$C$30,2,FALSE),"")</f>
        <v/>
      </c>
      <c r="E297" s="65" t="str">
        <f>IF(C297&lt;&gt;"",VLOOKUP(C297,'Dummy Table'!$B$3:$D$30,3,FALSE),"")</f>
        <v/>
      </c>
      <c r="F297" s="80"/>
      <c r="G297" s="72"/>
      <c r="H297" s="72"/>
      <c r="I297" s="72"/>
      <c r="K297" s="71"/>
    </row>
    <row r="298" spans="1:26" s="79" customFormat="1" ht="12.75" hidden="1" customHeight="1" x14ac:dyDescent="0.2">
      <c r="A298" s="62"/>
      <c r="B298" s="76" t="str">
        <f>IF(F298="",$J$24,"Ret")</f>
        <v/>
      </c>
      <c r="C298" s="75"/>
      <c r="D298" s="65" t="str">
        <f>IF(C298&lt;&gt;"",VLOOKUP(C298,'Dummy Table'!$B$3:$C$30,2,FALSE),"")</f>
        <v/>
      </c>
      <c r="E298" s="65" t="str">
        <f>IF(C298&lt;&gt;"",VLOOKUP(C298,'Dummy Table'!$B$3:$D$30,3,FALSE),"")</f>
        <v/>
      </c>
      <c r="F298" s="81"/>
      <c r="G298" s="72"/>
      <c r="H298" s="72"/>
      <c r="I298" s="72"/>
      <c r="J298" s="73"/>
      <c r="K298" s="71"/>
      <c r="L298" s="78"/>
      <c r="M298" s="69"/>
      <c r="N298" s="69"/>
      <c r="O298" s="69"/>
      <c r="P298" s="68"/>
      <c r="Q298" s="68"/>
      <c r="R298" s="68"/>
      <c r="S298" s="78"/>
      <c r="T298" s="78"/>
      <c r="U298" s="78"/>
      <c r="V298" s="78"/>
      <c r="W298" s="78"/>
      <c r="X298" s="78"/>
      <c r="Y298" s="78"/>
      <c r="Z298" s="78"/>
    </row>
    <row r="299" spans="1:26" ht="12.75" hidden="1" customHeight="1" x14ac:dyDescent="0.2">
      <c r="B299" s="76" t="str">
        <f>IF(F299="",$J$25,"Ret")</f>
        <v/>
      </c>
      <c r="C299" s="75"/>
      <c r="D299" s="65" t="str">
        <f>IF(C299&lt;&gt;"",VLOOKUP(C299,'Dummy Table'!$B$3:$C$30,2,FALSE),"")</f>
        <v/>
      </c>
      <c r="E299" s="65" t="str">
        <f>IF(C299&lt;&gt;"",VLOOKUP(C299,'Dummy Table'!$B$3:$D$30,3,FALSE),"")</f>
        <v/>
      </c>
      <c r="F299" s="81"/>
      <c r="G299" s="72"/>
      <c r="H299" s="72"/>
      <c r="I299" s="72"/>
      <c r="K299" s="71"/>
    </row>
    <row r="300" spans="1:26" x14ac:dyDescent="0.2">
      <c r="B300" s="52" t="s">
        <v>248</v>
      </c>
      <c r="C300" s="53" t="s">
        <v>334</v>
      </c>
      <c r="D300" s="54" t="str">
        <f>IF(C300&lt;&gt;"",VLOOKUP(C300,'Dummy Table'!$B$3:$C$30,2,FALSE),"")</f>
        <v>Austrália</v>
      </c>
      <c r="E300" s="54" t="str">
        <f>IF(C300&lt;&gt;"",VLOOKUP(C300,'Dummy Table'!$B$3:$D$30,3,FALSE),"")</f>
        <v>McLaren 🏆</v>
      </c>
      <c r="F300" s="55"/>
      <c r="H300" s="72"/>
      <c r="K300" s="71"/>
    </row>
    <row r="301" spans="1:26" x14ac:dyDescent="0.2">
      <c r="B301" s="56" t="s">
        <v>238</v>
      </c>
      <c r="C301" s="57" t="s">
        <v>334</v>
      </c>
      <c r="D301" s="54" t="str">
        <f>IF(C301&lt;&gt;"",VLOOKUP(C301,'Dummy Table'!$B$3:$C$30,2,FALSE),"")</f>
        <v>Austrália</v>
      </c>
      <c r="E301" s="54" t="str">
        <f>IF(C301&lt;&gt;"",VLOOKUP(C301,'Dummy Table'!$B$3:$D$30,3,FALSE),"")</f>
        <v>McLaren 🏆</v>
      </c>
      <c r="F301" s="58"/>
      <c r="H301" s="66">
        <f>IF(C301="",F301,0)</f>
        <v>0</v>
      </c>
      <c r="K301" s="71"/>
    </row>
    <row r="302" spans="1:26" x14ac:dyDescent="0.2">
      <c r="A302" s="62">
        <v>10</v>
      </c>
      <c r="B302" s="88">
        <f>VLOOKUP($A302,'Calendário atual'!$A$2:$E$30,2,FALSE)</f>
        <v>45823</v>
      </c>
      <c r="C302" s="162" t="str">
        <f>VLOOKUP($A302,'Calendário atual'!$A$2:$E$30,4,FALSE)</f>
        <v>FORMULA 1 PIRELLI GRAND PRIX DU CANADA 2025</v>
      </c>
      <c r="D302" s="162"/>
      <c r="E302" s="162"/>
      <c r="F302" s="88" t="str">
        <f>VLOOKUP($A302,'Calendário atual'!$A$2:$E$30,3,FALSE)</f>
        <v>Canadá</v>
      </c>
      <c r="G302" s="72"/>
      <c r="H302" s="72"/>
      <c r="I302" s="72"/>
      <c r="K302" s="71"/>
    </row>
    <row r="303" spans="1:26" x14ac:dyDescent="0.2">
      <c r="B303" s="61" t="s">
        <v>14</v>
      </c>
      <c r="C303" s="61" t="s">
        <v>29</v>
      </c>
      <c r="D303" s="61" t="s">
        <v>16</v>
      </c>
      <c r="E303" s="61" t="s">
        <v>17</v>
      </c>
      <c r="F303" s="61" t="s">
        <v>18</v>
      </c>
      <c r="K303" s="71"/>
    </row>
    <row r="304" spans="1:26" x14ac:dyDescent="0.2">
      <c r="B304" s="59">
        <f>$J$2</f>
        <v>1</v>
      </c>
      <c r="C304" s="48" t="s">
        <v>394</v>
      </c>
      <c r="D304" s="49" t="str">
        <f>IF(C304&lt;&gt;"",VLOOKUP(C304,'Dummy Table'!$B$3:$C$30,2,FALSE),"")</f>
        <v>Inglaterra</v>
      </c>
      <c r="E304" s="49" t="str">
        <f>IF(C304&lt;&gt;"",VLOOKUP(C304,'Dummy Table'!$B$3:$D$30,3,FALSE),"")</f>
        <v>Mercedes</v>
      </c>
      <c r="F304" s="50">
        <v>25</v>
      </c>
      <c r="G304" s="66">
        <f>IF(C304="",F304,0)</f>
        <v>0</v>
      </c>
      <c r="H304" s="66">
        <f>IF(C304="",F304,0)</f>
        <v>0</v>
      </c>
      <c r="I304" s="66">
        <f>IF(C304="",1,0)</f>
        <v>0</v>
      </c>
      <c r="K304" s="71"/>
    </row>
    <row r="305" spans="1:26" x14ac:dyDescent="0.2">
      <c r="B305" s="60">
        <f>$J$3</f>
        <v>2</v>
      </c>
      <c r="C305" s="48" t="s">
        <v>305</v>
      </c>
      <c r="D305" s="49" t="str">
        <f>IF(C305&lt;&gt;"",VLOOKUP(C305,'Dummy Table'!$B$3:$C$30,2,FALSE),"")</f>
        <v>Holanda</v>
      </c>
      <c r="E305" s="49" t="str">
        <f>IF(C305&lt;&gt;"",VLOOKUP(C305,'Dummy Table'!$B$3:$D$30,3,FALSE),"")</f>
        <v>Red Bull</v>
      </c>
      <c r="F305" s="50">
        <v>18</v>
      </c>
      <c r="H305" s="66">
        <f>IF(C305="",F305,0)</f>
        <v>0</v>
      </c>
      <c r="K305" s="71"/>
    </row>
    <row r="306" spans="1:26" x14ac:dyDescent="0.2">
      <c r="B306" s="60">
        <f>$J$4</f>
        <v>3</v>
      </c>
      <c r="C306" s="48" t="s">
        <v>336</v>
      </c>
      <c r="D306" s="49" t="str">
        <f>IF(C306&lt;&gt;"",VLOOKUP(C306,'Dummy Table'!$B$3:$C$30,2,FALSE),"")</f>
        <v>Itália</v>
      </c>
      <c r="E306" s="49" t="str">
        <f>IF(C306&lt;&gt;"",VLOOKUP(C306,'Dummy Table'!$B$3:$D$30,3,FALSE),"")</f>
        <v>Mercedes</v>
      </c>
      <c r="F306" s="50">
        <v>15</v>
      </c>
    </row>
    <row r="307" spans="1:26" x14ac:dyDescent="0.2">
      <c r="B307" s="60">
        <f>$J$5</f>
        <v>4</v>
      </c>
      <c r="C307" s="48" t="s">
        <v>334</v>
      </c>
      <c r="D307" s="49" t="str">
        <f>IF(C307&lt;&gt;"",VLOOKUP(C307,'Dummy Table'!$B$3:$C$30,2,FALSE),"")</f>
        <v>Austrália</v>
      </c>
      <c r="E307" s="49" t="str">
        <f>IF(C307&lt;&gt;"",VLOOKUP(C307,'Dummy Table'!$B$3:$D$30,3,FALSE),"")</f>
        <v>McLaren 🏆</v>
      </c>
      <c r="F307" s="50">
        <v>12</v>
      </c>
      <c r="K307" s="78"/>
    </row>
    <row r="308" spans="1:26" x14ac:dyDescent="0.2">
      <c r="B308" s="60">
        <f>$J$6</f>
        <v>5</v>
      </c>
      <c r="C308" s="48" t="s">
        <v>313</v>
      </c>
      <c r="D308" s="49" t="str">
        <f>IF(C308&lt;&gt;"",VLOOKUP(C308,'Dummy Table'!$B$3:$C$30,2,FALSE),"")</f>
        <v>Mônaco</v>
      </c>
      <c r="E308" s="49" t="str">
        <f>IF(C308&lt;&gt;"",VLOOKUP(C308,'Dummy Table'!$B$3:$D$30,3,FALSE),"")</f>
        <v>Ferrari</v>
      </c>
      <c r="F308" s="50">
        <v>10</v>
      </c>
    </row>
    <row r="309" spans="1:26" x14ac:dyDescent="0.2">
      <c r="B309" s="60">
        <f>$J$7</f>
        <v>6</v>
      </c>
      <c r="C309" s="48" t="s">
        <v>1</v>
      </c>
      <c r="D309" s="49" t="str">
        <f>IF(C309&lt;&gt;"",VLOOKUP(C309,'Dummy Table'!$B$3:$C$30,2,FALSE),"")</f>
        <v>Inglaterra</v>
      </c>
      <c r="E309" s="49" t="str">
        <f>IF(C309&lt;&gt;"",VLOOKUP(C309,'Dummy Table'!$B$3:$D$30,3,FALSE),"")</f>
        <v>Ferrari</v>
      </c>
      <c r="F309" s="50">
        <v>8</v>
      </c>
      <c r="K309" s="71"/>
    </row>
    <row r="310" spans="1:26" x14ac:dyDescent="0.2">
      <c r="B310" s="60">
        <f>$J$8</f>
        <v>7</v>
      </c>
      <c r="C310" s="48" t="s">
        <v>30</v>
      </c>
      <c r="D310" s="49" t="str">
        <f>IF(C310&lt;&gt;"",VLOOKUP(C310,'Dummy Table'!$B$3:$C$30,2,FALSE),"")</f>
        <v>Espanha</v>
      </c>
      <c r="E310" s="49" t="str">
        <f>IF(C310&lt;&gt;"",VLOOKUP(C310,'Dummy Table'!$B$3:$D$30,3,FALSE),"")</f>
        <v>Aston Martin</v>
      </c>
      <c r="F310" s="50">
        <v>6</v>
      </c>
      <c r="K310" s="71"/>
    </row>
    <row r="311" spans="1:26" x14ac:dyDescent="0.2">
      <c r="B311" s="60">
        <f>$J$9</f>
        <v>8</v>
      </c>
      <c r="C311" s="48" t="s">
        <v>257</v>
      </c>
      <c r="D311" s="49" t="str">
        <f>IF(C311&lt;&gt;"",VLOOKUP(C311,'Dummy Table'!$B$3:$C$30,2,FALSE),"")</f>
        <v>Alemanha</v>
      </c>
      <c r="E311" s="49" t="str">
        <f>IF(C311&lt;&gt;"",VLOOKUP(C311,'Dummy Table'!$B$3:$D$30,3,FALSE),"")</f>
        <v>Kick Sauber</v>
      </c>
      <c r="F311" s="50">
        <v>4</v>
      </c>
      <c r="K311" s="71"/>
    </row>
    <row r="312" spans="1:26" s="79" customFormat="1" x14ac:dyDescent="0.2">
      <c r="A312" s="62"/>
      <c r="B312" s="60">
        <f>$J$10</f>
        <v>9</v>
      </c>
      <c r="C312" s="48" t="s">
        <v>319</v>
      </c>
      <c r="D312" s="49" t="str">
        <f>IF(C312&lt;&gt;"",VLOOKUP(C312,'Dummy Table'!$B$3:$C$30,2,FALSE),"")</f>
        <v>França</v>
      </c>
      <c r="E312" s="49" t="str">
        <f>IF(C312&lt;&gt;"",VLOOKUP(C312,'Dummy Table'!$B$3:$D$30,3,FALSE),"")</f>
        <v>Haas</v>
      </c>
      <c r="F312" s="50">
        <v>2</v>
      </c>
      <c r="G312" s="66"/>
      <c r="H312" s="66"/>
      <c r="I312" s="66"/>
      <c r="J312" s="73"/>
      <c r="K312" s="71"/>
      <c r="L312" s="78"/>
      <c r="M312" s="69"/>
      <c r="N312" s="69"/>
      <c r="O312" s="69"/>
      <c r="P312" s="68"/>
      <c r="Q312" s="68"/>
      <c r="R312" s="68"/>
      <c r="S312" s="78"/>
      <c r="T312" s="78"/>
      <c r="U312" s="78"/>
      <c r="V312" s="78"/>
      <c r="W312" s="78"/>
      <c r="X312" s="78"/>
      <c r="Y312" s="78"/>
      <c r="Z312" s="78"/>
    </row>
    <row r="313" spans="1:26" x14ac:dyDescent="0.2">
      <c r="B313" s="60">
        <f>$J$11</f>
        <v>10</v>
      </c>
      <c r="C313" s="48" t="s">
        <v>343</v>
      </c>
      <c r="D313" s="49" t="str">
        <f>IF(C313&lt;&gt;"",VLOOKUP(C313,'Dummy Table'!$B$3:$C$30,2,FALSE),"")</f>
        <v>Espanha</v>
      </c>
      <c r="E313" s="49" t="str">
        <f>IF(C313&lt;&gt;"",VLOOKUP(C313,'Dummy Table'!$B$3:$D$30,3,FALSE),"")</f>
        <v>Williams</v>
      </c>
      <c r="F313" s="50">
        <v>1</v>
      </c>
      <c r="K313" s="71"/>
    </row>
    <row r="314" spans="1:26" x14ac:dyDescent="0.2">
      <c r="B314" s="60">
        <f>$J$12</f>
        <v>11</v>
      </c>
      <c r="C314" s="48" t="s">
        <v>338</v>
      </c>
      <c r="D314" s="49" t="str">
        <f>IF(C314&lt;&gt;"",VLOOKUP(C314,'Dummy Table'!$B$3:$C$30,2,FALSE),"")</f>
        <v>Inglaterra</v>
      </c>
      <c r="E314" s="49" t="str">
        <f>IF(C314&lt;&gt;"",VLOOKUP(C314,'Dummy Table'!$B$3:$D$30,3,FALSE),"")</f>
        <v>Haas</v>
      </c>
      <c r="F314" s="51"/>
      <c r="K314" s="71"/>
    </row>
    <row r="315" spans="1:26" x14ac:dyDescent="0.2">
      <c r="B315" s="60">
        <f>$J$13</f>
        <v>12</v>
      </c>
      <c r="C315" s="48" t="s">
        <v>339</v>
      </c>
      <c r="D315" s="49" t="str">
        <f>IF(C315&lt;&gt;"",VLOOKUP(C315,'Dummy Table'!$B$3:$C$30,2,FALSE),"")</f>
        <v>Japão</v>
      </c>
      <c r="E315" s="49" t="str">
        <f>IF(C315&lt;&gt;"",VLOOKUP(C315,'Dummy Table'!$B$3:$D$30,3,FALSE),"")</f>
        <v>Red Bull</v>
      </c>
      <c r="F315" s="51"/>
      <c r="K315" s="71"/>
    </row>
    <row r="316" spans="1:26" x14ac:dyDescent="0.2">
      <c r="B316" s="60">
        <f>$J$14</f>
        <v>13</v>
      </c>
      <c r="C316" s="48" t="s">
        <v>400</v>
      </c>
      <c r="D316" s="49" t="str">
        <f>IF(C316&lt;&gt;"",VLOOKUP(C316,'Dummy Table'!$B$3:$C$30,2,FALSE),"")</f>
        <v>Argentina</v>
      </c>
      <c r="E316" s="49" t="str">
        <f>IF(C316&lt;&gt;"",VLOOKUP(C316,'Dummy Table'!$B$3:$D$30,3,FALSE),"")</f>
        <v>Alpine</v>
      </c>
      <c r="F316" s="51"/>
      <c r="G316" s="72"/>
      <c r="H316" s="72"/>
      <c r="I316" s="72"/>
      <c r="K316" s="71"/>
    </row>
    <row r="317" spans="1:26" x14ac:dyDescent="0.2">
      <c r="B317" s="60">
        <f>$J$15</f>
        <v>14</v>
      </c>
      <c r="C317" s="48" t="s">
        <v>344</v>
      </c>
      <c r="D317" s="49" t="str">
        <f>IF(C317&lt;&gt;"",VLOOKUP(C317,'Dummy Table'!$B$3:$C$30,2,FALSE),"")</f>
        <v>Brasil</v>
      </c>
      <c r="E317" s="49" t="str">
        <f>IF(C317&lt;&gt;"",VLOOKUP(C317,'Dummy Table'!$B$3:$D$30,3,FALSE),"")</f>
        <v>Kick Sauber</v>
      </c>
      <c r="F317" s="51"/>
      <c r="G317" s="72"/>
      <c r="H317" s="72"/>
      <c r="I317" s="72"/>
      <c r="K317" s="71"/>
      <c r="M317" s="83"/>
      <c r="N317" s="83"/>
      <c r="O317" s="83"/>
      <c r="P317" s="78"/>
      <c r="Q317" s="78"/>
      <c r="R317" s="78"/>
    </row>
    <row r="318" spans="1:26" x14ac:dyDescent="0.2">
      <c r="B318" s="60">
        <f>$J$16</f>
        <v>15</v>
      </c>
      <c r="C318" s="48" t="s">
        <v>312</v>
      </c>
      <c r="D318" s="49" t="str">
        <f>IF(C318&lt;&gt;"",VLOOKUP(C318,'Dummy Table'!$B$3:$C$30,2,FALSE),"")</f>
        <v>França</v>
      </c>
      <c r="E318" s="49" t="str">
        <f>IF(C318&lt;&gt;"",VLOOKUP(C318,'Dummy Table'!$B$3:$D$30,3,FALSE),"")</f>
        <v>Alpine</v>
      </c>
      <c r="F318" s="51"/>
      <c r="G318" s="72"/>
      <c r="H318" s="72"/>
      <c r="I318" s="72"/>
      <c r="K318" s="71"/>
    </row>
    <row r="319" spans="1:26" x14ac:dyDescent="0.2">
      <c r="B319" s="60">
        <f>$J$17</f>
        <v>16</v>
      </c>
      <c r="C319" s="48" t="s">
        <v>341</v>
      </c>
      <c r="D319" s="49" t="str">
        <f>IF(C319&lt;&gt;"",VLOOKUP(C319,'Dummy Table'!$B$3:$C$30,2,FALSE),"")</f>
        <v>França</v>
      </c>
      <c r="E319" s="49" t="str">
        <f>IF(C319&lt;&gt;"",VLOOKUP(C319,'Dummy Table'!$B$3:$D$30,3,FALSE),"")</f>
        <v>Racing Bulls</v>
      </c>
      <c r="F319" s="51"/>
      <c r="G319" s="72"/>
      <c r="H319" s="72"/>
      <c r="I319" s="72"/>
      <c r="K319" s="71"/>
    </row>
    <row r="320" spans="1:26" x14ac:dyDescent="0.2">
      <c r="B320" s="60">
        <f>$J$18</f>
        <v>17</v>
      </c>
      <c r="C320" s="48" t="s">
        <v>311</v>
      </c>
      <c r="D320" s="49" t="str">
        <f>IF(C320&lt;&gt;"",VLOOKUP(C320,'Dummy Table'!$B$3:$C$30,2,FALSE),"")</f>
        <v>Canadá</v>
      </c>
      <c r="E320" s="49" t="str">
        <f>IF(C320&lt;&gt;"",VLOOKUP(C320,'Dummy Table'!$B$3:$D$30,3,FALSE),"")</f>
        <v>Aston Martin</v>
      </c>
      <c r="F320" s="51"/>
      <c r="G320" s="72"/>
      <c r="H320" s="72"/>
      <c r="I320" s="72"/>
    </row>
    <row r="321" spans="1:26" x14ac:dyDescent="0.2">
      <c r="B321" s="60">
        <f>$J$19</f>
        <v>18</v>
      </c>
      <c r="C321" s="48" t="s">
        <v>316</v>
      </c>
      <c r="D321" s="49" t="str">
        <f>IF(C321&lt;&gt;"",VLOOKUP(C321,'Dummy Table'!$B$3:$C$30,2,FALSE),"")</f>
        <v>Inglaterra</v>
      </c>
      <c r="E321" s="49" t="str">
        <f>IF(C321&lt;&gt;"",VLOOKUP(C321,'Dummy Table'!$B$3:$D$30,3,FALSE),"")</f>
        <v>McLaren 🏆</v>
      </c>
      <c r="F321" s="51" t="s">
        <v>320</v>
      </c>
      <c r="G321" s="72"/>
      <c r="H321" s="72"/>
      <c r="I321" s="72"/>
      <c r="K321" s="78"/>
    </row>
    <row r="322" spans="1:26" x14ac:dyDescent="0.2">
      <c r="B322" s="60">
        <f>$J$20</f>
        <v>19</v>
      </c>
      <c r="C322" s="48" t="s">
        <v>335</v>
      </c>
      <c r="D322" s="49" t="str">
        <f>IF(C322&lt;&gt;"",VLOOKUP(C322,'Dummy Table'!$B$3:$C$30,2,FALSE),"")</f>
        <v>Austrália</v>
      </c>
      <c r="E322" s="49" t="str">
        <f>IF(C322&lt;&gt;"",VLOOKUP(C322,'Dummy Table'!$B$3:$D$30,3,FALSE),"")</f>
        <v>Racing Bulls</v>
      </c>
      <c r="F322" s="51" t="s">
        <v>320</v>
      </c>
      <c r="G322" s="72"/>
      <c r="H322" s="72"/>
      <c r="I322" s="72"/>
    </row>
    <row r="323" spans="1:26" x14ac:dyDescent="0.2">
      <c r="B323" s="60">
        <f>$J$21</f>
        <v>20</v>
      </c>
      <c r="C323" s="48" t="s">
        <v>315</v>
      </c>
      <c r="D323" s="49" t="str">
        <f>IF(C323&lt;&gt;"",VLOOKUP(C323,'Dummy Table'!$B$3:$C$30,2,FALSE),"")</f>
        <v>Tailandia</v>
      </c>
      <c r="E323" s="49" t="str">
        <f>IF(C323&lt;&gt;"",VLOOKUP(C323,'Dummy Table'!$B$3:$D$30,3,FALSE),"")</f>
        <v>Williams</v>
      </c>
      <c r="F323" s="51" t="s">
        <v>320</v>
      </c>
      <c r="G323" s="72"/>
      <c r="H323" s="72"/>
      <c r="I323" s="72"/>
      <c r="K323" s="71"/>
    </row>
    <row r="324" spans="1:26" ht="12.75" hidden="1" customHeight="1" x14ac:dyDescent="0.2">
      <c r="B324" s="76">
        <f>$J$22</f>
        <v>21</v>
      </c>
      <c r="C324" s="75"/>
      <c r="D324" s="65" t="str">
        <f>IF(C324&lt;&gt;"",VLOOKUP(C324,'Dummy Table'!$B$3:$C$30,2,FALSE),"")</f>
        <v/>
      </c>
      <c r="E324" s="65" t="str">
        <f>IF(C324&lt;&gt;"",VLOOKUP(C324,'Dummy Table'!$B$3:$D$30,3,FALSE),"")</f>
        <v/>
      </c>
      <c r="F324" s="77"/>
      <c r="G324" s="72"/>
      <c r="H324" s="72"/>
      <c r="I324" s="72"/>
      <c r="K324" s="71"/>
    </row>
    <row r="325" spans="1:26" ht="12.75" hidden="1" customHeight="1" x14ac:dyDescent="0.2">
      <c r="B325" s="76" t="str">
        <f>$J$23</f>
        <v/>
      </c>
      <c r="C325" s="75"/>
      <c r="D325" s="65" t="str">
        <f>IF(C325&lt;&gt;"",VLOOKUP(C325,'Dummy Table'!$B$3:$C$30,2,FALSE),"")</f>
        <v/>
      </c>
      <c r="E325" s="65" t="str">
        <f>IF(C325&lt;&gt;"",VLOOKUP(C325,'Dummy Table'!$B$3:$D$30,3,FALSE),"")</f>
        <v/>
      </c>
      <c r="F325" s="80"/>
      <c r="G325" s="72"/>
      <c r="H325" s="72"/>
      <c r="I325" s="72"/>
      <c r="K325" s="71"/>
    </row>
    <row r="326" spans="1:26" s="79" customFormat="1" ht="12.75" hidden="1" customHeight="1" x14ac:dyDescent="0.2">
      <c r="A326" s="62"/>
      <c r="B326" s="76" t="str">
        <f>IF(F326="",$J$24,"Ret")</f>
        <v/>
      </c>
      <c r="C326" s="75"/>
      <c r="D326" s="65" t="str">
        <f>IF(C326&lt;&gt;"",VLOOKUP(C326,'Dummy Table'!$B$3:$C$30,2,FALSE),"")</f>
        <v/>
      </c>
      <c r="E326" s="65" t="str">
        <f>IF(C326&lt;&gt;"",VLOOKUP(C326,'Dummy Table'!$B$3:$D$30,3,FALSE),"")</f>
        <v/>
      </c>
      <c r="F326" s="81"/>
      <c r="G326" s="72"/>
      <c r="H326" s="72"/>
      <c r="I326" s="72"/>
      <c r="J326" s="73"/>
      <c r="K326" s="71"/>
      <c r="L326" s="78"/>
      <c r="M326" s="69"/>
      <c r="N326" s="69"/>
      <c r="O326" s="69"/>
      <c r="P326" s="68"/>
      <c r="Q326" s="68"/>
      <c r="R326" s="68"/>
      <c r="S326" s="78"/>
      <c r="T326" s="78"/>
      <c r="U326" s="78"/>
      <c r="V326" s="78"/>
      <c r="W326" s="78"/>
      <c r="X326" s="78"/>
      <c r="Y326" s="78"/>
      <c r="Z326" s="78"/>
    </row>
    <row r="327" spans="1:26" ht="12.75" hidden="1" customHeight="1" x14ac:dyDescent="0.2">
      <c r="B327" s="76" t="str">
        <f>IF(F327="",$J$25,"Ret")</f>
        <v/>
      </c>
      <c r="C327" s="75"/>
      <c r="D327" s="65" t="str">
        <f>IF(C327&lt;&gt;"",VLOOKUP(C327,'Dummy Table'!$B$3:$C$30,2,FALSE),"")</f>
        <v/>
      </c>
      <c r="E327" s="65" t="str">
        <f>IF(C327&lt;&gt;"",VLOOKUP(C327,'Dummy Table'!$B$3:$D$30,3,FALSE),"")</f>
        <v/>
      </c>
      <c r="F327" s="81"/>
      <c r="G327" s="72"/>
      <c r="H327" s="72"/>
      <c r="I327" s="72"/>
      <c r="K327" s="71"/>
    </row>
    <row r="328" spans="1:26" x14ac:dyDescent="0.2">
      <c r="B328" s="52" t="s">
        <v>248</v>
      </c>
      <c r="C328" s="53" t="s">
        <v>394</v>
      </c>
      <c r="D328" s="54" t="str">
        <f>IF(C328&lt;&gt;"",VLOOKUP(C328,'Dummy Table'!$B$3:$C$30,2,FALSE),"")</f>
        <v>Inglaterra</v>
      </c>
      <c r="E328" s="54" t="str">
        <f>IF(C328&lt;&gt;"",VLOOKUP(C328,'Dummy Table'!$B$3:$D$30,3,FALSE),"")</f>
        <v>Mercedes</v>
      </c>
      <c r="F328" s="55"/>
      <c r="H328" s="72"/>
      <c r="K328" s="71"/>
    </row>
    <row r="329" spans="1:26" x14ac:dyDescent="0.2">
      <c r="B329" s="56" t="s">
        <v>238</v>
      </c>
      <c r="C329" s="57" t="s">
        <v>394</v>
      </c>
      <c r="D329" s="54" t="str">
        <f>IF(C329&lt;&gt;"",VLOOKUP(C329,'Dummy Table'!$B$3:$C$30,2,FALSE),"")</f>
        <v>Inglaterra</v>
      </c>
      <c r="E329" s="54" t="str">
        <f>IF(C329&lt;&gt;"",VLOOKUP(C329,'Dummy Table'!$B$3:$D$30,3,FALSE),"")</f>
        <v>Mercedes</v>
      </c>
      <c r="F329" s="58"/>
      <c r="H329" s="66">
        <f>IF(C329="",F329,0)</f>
        <v>0</v>
      </c>
      <c r="K329" s="71"/>
    </row>
    <row r="330" spans="1:26" x14ac:dyDescent="0.2">
      <c r="A330" s="62">
        <v>11</v>
      </c>
      <c r="B330" s="88">
        <f>VLOOKUP($A330,'Calendário atual'!$A$2:$E$30,2,FALSE)</f>
        <v>45837</v>
      </c>
      <c r="C330" s="162" t="str">
        <f>VLOOKUP($A330,'Calendário atual'!$A$2:$E$30,4,FALSE)</f>
        <v>FORMULA 1 MSC CRUISES AUSTRIAN GRAND PRIX 2025</v>
      </c>
      <c r="D330" s="162"/>
      <c r="E330" s="162"/>
      <c r="F330" s="88" t="str">
        <f>VLOOKUP($A330,'Calendário atual'!$A$2:$E$30,3,FALSE)</f>
        <v>Austria</v>
      </c>
      <c r="G330" s="72"/>
      <c r="H330" s="72"/>
      <c r="I330" s="72"/>
      <c r="K330" s="71"/>
    </row>
    <row r="331" spans="1:26" x14ac:dyDescent="0.2">
      <c r="B331" s="61" t="s">
        <v>14</v>
      </c>
      <c r="C331" s="61" t="s">
        <v>29</v>
      </c>
      <c r="D331" s="61" t="s">
        <v>16</v>
      </c>
      <c r="E331" s="61" t="s">
        <v>17</v>
      </c>
      <c r="F331" s="61" t="s">
        <v>18</v>
      </c>
      <c r="K331" s="71"/>
    </row>
    <row r="332" spans="1:26" x14ac:dyDescent="0.2">
      <c r="B332" s="59">
        <f>$J$2</f>
        <v>1</v>
      </c>
      <c r="C332" s="48" t="s">
        <v>316</v>
      </c>
      <c r="D332" s="49" t="str">
        <f>IF(C332&lt;&gt;"",VLOOKUP(C332,'Dummy Table'!$B$3:$C$30,2,FALSE),"")</f>
        <v>Inglaterra</v>
      </c>
      <c r="E332" s="49" t="str">
        <f>IF(C332&lt;&gt;"",VLOOKUP(C332,'Dummy Table'!$B$3:$D$30,3,FALSE),"")</f>
        <v>McLaren 🏆</v>
      </c>
      <c r="F332" s="50">
        <v>25</v>
      </c>
      <c r="G332" s="66">
        <f>IF(C332="",F332,0)</f>
        <v>0</v>
      </c>
      <c r="H332" s="66">
        <f>IF(C332="",F332,0)</f>
        <v>0</v>
      </c>
      <c r="I332" s="66">
        <f>IF(C332="",1,0)</f>
        <v>0</v>
      </c>
      <c r="K332" s="71"/>
    </row>
    <row r="333" spans="1:26" x14ac:dyDescent="0.2">
      <c r="B333" s="60">
        <f>$J$3</f>
        <v>2</v>
      </c>
      <c r="C333" s="48" t="s">
        <v>334</v>
      </c>
      <c r="D333" s="49" t="str">
        <f>IF(C333&lt;&gt;"",VLOOKUP(C333,'Dummy Table'!$B$3:$C$30,2,FALSE),"")</f>
        <v>Austrália</v>
      </c>
      <c r="E333" s="49" t="str">
        <f>IF(C333&lt;&gt;"",VLOOKUP(C333,'Dummy Table'!$B$3:$D$30,3,FALSE),"")</f>
        <v>McLaren 🏆</v>
      </c>
      <c r="F333" s="50">
        <v>18</v>
      </c>
      <c r="H333" s="66">
        <f>IF(C333="",F333,0)</f>
        <v>0</v>
      </c>
      <c r="K333" s="71"/>
    </row>
    <row r="334" spans="1:26" x14ac:dyDescent="0.2">
      <c r="B334" s="60">
        <f>$J$4</f>
        <v>3</v>
      </c>
      <c r="C334" s="48" t="s">
        <v>313</v>
      </c>
      <c r="D334" s="49" t="str">
        <f>IF(C334&lt;&gt;"",VLOOKUP(C334,'Dummy Table'!$B$3:$C$30,2,FALSE),"")</f>
        <v>Mônaco</v>
      </c>
      <c r="E334" s="49" t="str">
        <f>IF(C334&lt;&gt;"",VLOOKUP(C334,'Dummy Table'!$B$3:$D$30,3,FALSE),"")</f>
        <v>Ferrari</v>
      </c>
      <c r="F334" s="50">
        <v>15</v>
      </c>
    </row>
    <row r="335" spans="1:26" x14ac:dyDescent="0.2">
      <c r="B335" s="60">
        <f>$J$5</f>
        <v>4</v>
      </c>
      <c r="C335" s="48" t="s">
        <v>1</v>
      </c>
      <c r="D335" s="49" t="str">
        <f>IF(C335&lt;&gt;"",VLOOKUP(C335,'Dummy Table'!$B$3:$C$30,2,FALSE),"")</f>
        <v>Inglaterra</v>
      </c>
      <c r="E335" s="49" t="str">
        <f>IF(C335&lt;&gt;"",VLOOKUP(C335,'Dummy Table'!$B$3:$D$30,3,FALSE),"")</f>
        <v>Ferrari</v>
      </c>
      <c r="F335" s="50">
        <v>12</v>
      </c>
      <c r="K335" s="78"/>
    </row>
    <row r="336" spans="1:26" x14ac:dyDescent="0.2">
      <c r="B336" s="60">
        <f>$J$6</f>
        <v>5</v>
      </c>
      <c r="C336" s="48" t="s">
        <v>394</v>
      </c>
      <c r="D336" s="49" t="str">
        <f>IF(C336&lt;&gt;"",VLOOKUP(C336,'Dummy Table'!$B$3:$C$30,2,FALSE),"")</f>
        <v>Inglaterra</v>
      </c>
      <c r="E336" s="49" t="str">
        <f>IF(C336&lt;&gt;"",VLOOKUP(C336,'Dummy Table'!$B$3:$D$30,3,FALSE),"")</f>
        <v>Mercedes</v>
      </c>
      <c r="F336" s="50">
        <v>10</v>
      </c>
    </row>
    <row r="337" spans="1:26" x14ac:dyDescent="0.2">
      <c r="B337" s="60">
        <f>$J$7</f>
        <v>6</v>
      </c>
      <c r="C337" s="48" t="s">
        <v>335</v>
      </c>
      <c r="D337" s="49" t="str">
        <f>IF(C337&lt;&gt;"",VLOOKUP(C337,'Dummy Table'!$B$3:$C$30,2,FALSE),"")</f>
        <v>Austrália</v>
      </c>
      <c r="E337" s="49" t="str">
        <f>IF(C337&lt;&gt;"",VLOOKUP(C337,'Dummy Table'!$B$3:$D$30,3,FALSE),"")</f>
        <v>Racing Bulls</v>
      </c>
      <c r="F337" s="50">
        <v>8</v>
      </c>
      <c r="K337" s="71"/>
    </row>
    <row r="338" spans="1:26" x14ac:dyDescent="0.2">
      <c r="B338" s="60">
        <f>$J$8</f>
        <v>7</v>
      </c>
      <c r="C338" s="48" t="s">
        <v>30</v>
      </c>
      <c r="D338" s="49" t="str">
        <f>IF(C338&lt;&gt;"",VLOOKUP(C338,'Dummy Table'!$B$3:$C$30,2,FALSE),"")</f>
        <v>Espanha</v>
      </c>
      <c r="E338" s="49" t="str">
        <f>IF(C338&lt;&gt;"",VLOOKUP(C338,'Dummy Table'!$B$3:$D$30,3,FALSE),"")</f>
        <v>Aston Martin</v>
      </c>
      <c r="F338" s="50">
        <v>6</v>
      </c>
      <c r="K338" s="71"/>
    </row>
    <row r="339" spans="1:26" x14ac:dyDescent="0.2">
      <c r="B339" s="60">
        <f>$J$9</f>
        <v>8</v>
      </c>
      <c r="C339" s="48" t="s">
        <v>344</v>
      </c>
      <c r="D339" s="49" t="str">
        <f>IF(C339&lt;&gt;"",VLOOKUP(C339,'Dummy Table'!$B$3:$C$30,2,FALSE),"")</f>
        <v>Brasil</v>
      </c>
      <c r="E339" s="49" t="str">
        <f>IF(C339&lt;&gt;"",VLOOKUP(C339,'Dummy Table'!$B$3:$D$30,3,FALSE),"")</f>
        <v>Kick Sauber</v>
      </c>
      <c r="F339" s="50">
        <v>4</v>
      </c>
      <c r="K339" s="71"/>
    </row>
    <row r="340" spans="1:26" s="79" customFormat="1" x14ac:dyDescent="0.2">
      <c r="A340" s="62"/>
      <c r="B340" s="60">
        <f>$J$10</f>
        <v>9</v>
      </c>
      <c r="C340" s="48" t="s">
        <v>257</v>
      </c>
      <c r="D340" s="49" t="str">
        <f>IF(C340&lt;&gt;"",VLOOKUP(C340,'Dummy Table'!$B$3:$C$30,2,FALSE),"")</f>
        <v>Alemanha</v>
      </c>
      <c r="E340" s="49" t="str">
        <f>IF(C340&lt;&gt;"",VLOOKUP(C340,'Dummy Table'!$B$3:$D$30,3,FALSE),"")</f>
        <v>Kick Sauber</v>
      </c>
      <c r="F340" s="50">
        <v>2</v>
      </c>
      <c r="G340" s="66"/>
      <c r="H340" s="66"/>
      <c r="I340" s="66"/>
      <c r="J340" s="73"/>
      <c r="K340" s="71"/>
      <c r="L340" s="78"/>
      <c r="M340" s="69"/>
      <c r="N340" s="69"/>
      <c r="O340" s="69"/>
      <c r="P340" s="68"/>
      <c r="Q340" s="68"/>
      <c r="R340" s="68"/>
      <c r="S340" s="78"/>
      <c r="T340" s="78"/>
      <c r="U340" s="78"/>
      <c r="V340" s="78"/>
      <c r="W340" s="78"/>
      <c r="X340" s="78"/>
      <c r="Y340" s="78"/>
      <c r="Z340" s="78"/>
    </row>
    <row r="341" spans="1:26" x14ac:dyDescent="0.2">
      <c r="B341" s="60">
        <f>$J$11</f>
        <v>10</v>
      </c>
      <c r="C341" s="48" t="s">
        <v>319</v>
      </c>
      <c r="D341" s="49" t="str">
        <f>IF(C341&lt;&gt;"",VLOOKUP(C341,'Dummy Table'!$B$3:$C$30,2,FALSE),"")</f>
        <v>França</v>
      </c>
      <c r="E341" s="49" t="str">
        <f>IF(C341&lt;&gt;"",VLOOKUP(C341,'Dummy Table'!$B$3:$D$30,3,FALSE),"")</f>
        <v>Haas</v>
      </c>
      <c r="F341" s="50">
        <v>1</v>
      </c>
      <c r="K341" s="71"/>
    </row>
    <row r="342" spans="1:26" x14ac:dyDescent="0.2">
      <c r="B342" s="60">
        <f>$J$12</f>
        <v>11</v>
      </c>
      <c r="C342" s="48" t="s">
        <v>338</v>
      </c>
      <c r="D342" s="49" t="str">
        <f>IF(C342&lt;&gt;"",VLOOKUP(C342,'Dummy Table'!$B$3:$C$30,2,FALSE),"")</f>
        <v>Inglaterra</v>
      </c>
      <c r="E342" s="49" t="str">
        <f>IF(C342&lt;&gt;"",VLOOKUP(C342,'Dummy Table'!$B$3:$D$30,3,FALSE),"")</f>
        <v>Haas</v>
      </c>
      <c r="F342" s="51"/>
      <c r="K342" s="71"/>
    </row>
    <row r="343" spans="1:26" x14ac:dyDescent="0.2">
      <c r="B343" s="60">
        <f>$J$13</f>
        <v>12</v>
      </c>
      <c r="C343" s="48" t="s">
        <v>341</v>
      </c>
      <c r="D343" s="49" t="str">
        <f>IF(C343&lt;&gt;"",VLOOKUP(C343,'Dummy Table'!$B$3:$C$30,2,FALSE),"")</f>
        <v>França</v>
      </c>
      <c r="E343" s="49" t="str">
        <f>IF(C343&lt;&gt;"",VLOOKUP(C343,'Dummy Table'!$B$3:$D$30,3,FALSE),"")</f>
        <v>Racing Bulls</v>
      </c>
      <c r="F343" s="51"/>
      <c r="K343" s="71"/>
    </row>
    <row r="344" spans="1:26" x14ac:dyDescent="0.2">
      <c r="B344" s="60">
        <f>$J$14</f>
        <v>13</v>
      </c>
      <c r="C344" s="48" t="s">
        <v>312</v>
      </c>
      <c r="D344" s="49" t="str">
        <f>IF(C344&lt;&gt;"",VLOOKUP(C344,'Dummy Table'!$B$3:$C$30,2,FALSE),"")</f>
        <v>França</v>
      </c>
      <c r="E344" s="49" t="str">
        <f>IF(C344&lt;&gt;"",VLOOKUP(C344,'Dummy Table'!$B$3:$D$30,3,FALSE),"")</f>
        <v>Alpine</v>
      </c>
      <c r="F344" s="51"/>
      <c r="G344" s="72"/>
      <c r="H344" s="72"/>
      <c r="I344" s="72"/>
      <c r="K344" s="71"/>
    </row>
    <row r="345" spans="1:26" x14ac:dyDescent="0.2">
      <c r="B345" s="60">
        <f>$J$15</f>
        <v>14</v>
      </c>
      <c r="C345" s="48" t="s">
        <v>311</v>
      </c>
      <c r="D345" s="49" t="str">
        <f>IF(C345&lt;&gt;"",VLOOKUP(C345,'Dummy Table'!$B$3:$C$30,2,FALSE),"")</f>
        <v>Canadá</v>
      </c>
      <c r="E345" s="49" t="str">
        <f>IF(C345&lt;&gt;"",VLOOKUP(C345,'Dummy Table'!$B$3:$D$30,3,FALSE),"")</f>
        <v>Aston Martin</v>
      </c>
      <c r="F345" s="51"/>
      <c r="G345" s="72"/>
      <c r="H345" s="72"/>
      <c r="I345" s="72"/>
      <c r="K345" s="71"/>
      <c r="M345" s="83"/>
      <c r="N345" s="83"/>
      <c r="O345" s="83"/>
      <c r="P345" s="78"/>
      <c r="Q345" s="78"/>
      <c r="R345" s="78"/>
    </row>
    <row r="346" spans="1:26" x14ac:dyDescent="0.2">
      <c r="B346" s="60">
        <f>$J$16</f>
        <v>15</v>
      </c>
      <c r="C346" s="48" t="s">
        <v>400</v>
      </c>
      <c r="D346" s="49" t="str">
        <f>IF(C346&lt;&gt;"",VLOOKUP(C346,'Dummy Table'!$B$3:$C$30,2,FALSE),"")</f>
        <v>Argentina</v>
      </c>
      <c r="E346" s="49" t="str">
        <f>IF(C346&lt;&gt;"",VLOOKUP(C346,'Dummy Table'!$B$3:$D$30,3,FALSE),"")</f>
        <v>Alpine</v>
      </c>
      <c r="F346" s="51"/>
      <c r="G346" s="72"/>
      <c r="H346" s="72"/>
      <c r="I346" s="72"/>
      <c r="K346" s="71"/>
    </row>
    <row r="347" spans="1:26" x14ac:dyDescent="0.2">
      <c r="B347" s="60">
        <f>$J$17</f>
        <v>16</v>
      </c>
      <c r="C347" s="48" t="s">
        <v>339</v>
      </c>
      <c r="D347" s="49" t="str">
        <f>IF(C347&lt;&gt;"",VLOOKUP(C347,'Dummy Table'!$B$3:$C$30,2,FALSE),"")</f>
        <v>Japão</v>
      </c>
      <c r="E347" s="49" t="str">
        <f>IF(C347&lt;&gt;"",VLOOKUP(C347,'Dummy Table'!$B$3:$D$30,3,FALSE),"")</f>
        <v>Red Bull</v>
      </c>
      <c r="F347" s="51"/>
      <c r="G347" s="72"/>
      <c r="H347" s="72"/>
      <c r="I347" s="72"/>
      <c r="K347" s="71"/>
    </row>
    <row r="348" spans="1:26" x14ac:dyDescent="0.2">
      <c r="B348" s="60">
        <f>$J$18</f>
        <v>17</v>
      </c>
      <c r="C348" s="48" t="s">
        <v>315</v>
      </c>
      <c r="D348" s="49" t="str">
        <f>IF(C348&lt;&gt;"",VLOOKUP(C348,'Dummy Table'!$B$3:$C$30,2,FALSE),"")</f>
        <v>Tailandia</v>
      </c>
      <c r="E348" s="49" t="str">
        <f>IF(C348&lt;&gt;"",VLOOKUP(C348,'Dummy Table'!$B$3:$D$30,3,FALSE),"")</f>
        <v>Williams</v>
      </c>
      <c r="F348" s="51" t="s">
        <v>320</v>
      </c>
      <c r="G348" s="72"/>
      <c r="H348" s="72"/>
      <c r="I348" s="72"/>
    </row>
    <row r="349" spans="1:26" x14ac:dyDescent="0.2">
      <c r="B349" s="60">
        <f>$J$19</f>
        <v>18</v>
      </c>
      <c r="C349" s="48" t="s">
        <v>305</v>
      </c>
      <c r="D349" s="49" t="str">
        <f>IF(C349&lt;&gt;"",VLOOKUP(C349,'Dummy Table'!$B$3:$C$30,2,FALSE),"")</f>
        <v>Holanda</v>
      </c>
      <c r="E349" s="49" t="str">
        <f>IF(C349&lt;&gt;"",VLOOKUP(C349,'Dummy Table'!$B$3:$D$30,3,FALSE),"")</f>
        <v>Red Bull</v>
      </c>
      <c r="F349" s="51" t="s">
        <v>320</v>
      </c>
      <c r="G349" s="72"/>
      <c r="H349" s="72"/>
      <c r="I349" s="72"/>
      <c r="K349" s="78"/>
    </row>
    <row r="350" spans="1:26" x14ac:dyDescent="0.2">
      <c r="B350" s="60">
        <f>$J$20</f>
        <v>19</v>
      </c>
      <c r="C350" s="48" t="s">
        <v>336</v>
      </c>
      <c r="D350" s="49" t="str">
        <f>IF(C350&lt;&gt;"",VLOOKUP(C350,'Dummy Table'!$B$3:$C$30,2,FALSE),"")</f>
        <v>Itália</v>
      </c>
      <c r="E350" s="49" t="str">
        <f>IF(C350&lt;&gt;"",VLOOKUP(C350,'Dummy Table'!$B$3:$D$30,3,FALSE),"")</f>
        <v>Mercedes</v>
      </c>
      <c r="F350" s="51" t="s">
        <v>320</v>
      </c>
      <c r="G350" s="72"/>
      <c r="H350" s="72"/>
      <c r="I350" s="72"/>
    </row>
    <row r="351" spans="1:26" x14ac:dyDescent="0.2">
      <c r="B351" s="60">
        <f>$J$21</f>
        <v>20</v>
      </c>
      <c r="C351" s="48" t="s">
        <v>343</v>
      </c>
      <c r="D351" s="49" t="str">
        <f>IF(C351&lt;&gt;"",VLOOKUP(C351,'Dummy Table'!$B$3:$C$30,2,FALSE),"")</f>
        <v>Espanha</v>
      </c>
      <c r="E351" s="49" t="str">
        <f>IF(C351&lt;&gt;"",VLOOKUP(C351,'Dummy Table'!$B$3:$D$30,3,FALSE),"")</f>
        <v>Williams</v>
      </c>
      <c r="F351" s="51" t="s">
        <v>399</v>
      </c>
      <c r="G351" s="72"/>
      <c r="H351" s="72"/>
      <c r="I351" s="72"/>
      <c r="K351" s="71"/>
    </row>
    <row r="352" spans="1:26" ht="12.75" hidden="1" customHeight="1" x14ac:dyDescent="0.2">
      <c r="B352" s="76">
        <f>$J$22</f>
        <v>21</v>
      </c>
      <c r="C352" s="75"/>
      <c r="D352" s="65" t="str">
        <f>IF(C352&lt;&gt;"",VLOOKUP(C352,'Dummy Table'!$B$3:$C$30,2,FALSE),"")</f>
        <v/>
      </c>
      <c r="E352" s="65" t="str">
        <f>IF(C352&lt;&gt;"",VLOOKUP(C352,'Dummy Table'!$B$3:$D$30,3,FALSE),"")</f>
        <v/>
      </c>
      <c r="F352" s="77"/>
      <c r="G352" s="72"/>
      <c r="H352" s="72"/>
      <c r="I352" s="72"/>
      <c r="K352" s="71"/>
    </row>
    <row r="353" spans="1:26" ht="12.75" hidden="1" customHeight="1" x14ac:dyDescent="0.2">
      <c r="B353" s="76" t="str">
        <f>$J$23</f>
        <v/>
      </c>
      <c r="C353" s="75"/>
      <c r="D353" s="65" t="str">
        <f>IF(C353&lt;&gt;"",VLOOKUP(C353,'Dummy Table'!$B$3:$C$30,2,FALSE),"")</f>
        <v/>
      </c>
      <c r="E353" s="65" t="str">
        <f>IF(C353&lt;&gt;"",VLOOKUP(C353,'Dummy Table'!$B$3:$D$30,3,FALSE),"")</f>
        <v/>
      </c>
      <c r="F353" s="80"/>
      <c r="G353" s="72"/>
      <c r="H353" s="72"/>
      <c r="I353" s="72"/>
      <c r="K353" s="71"/>
    </row>
    <row r="354" spans="1:26" s="79" customFormat="1" ht="12.75" hidden="1" customHeight="1" x14ac:dyDescent="0.2">
      <c r="A354" s="62"/>
      <c r="B354" s="76" t="str">
        <f>IF(F354="",$J$24,"Ret")</f>
        <v/>
      </c>
      <c r="C354" s="75"/>
      <c r="D354" s="65" t="str">
        <f>IF(C354&lt;&gt;"",VLOOKUP(C354,'Dummy Table'!$B$3:$C$30,2,FALSE),"")</f>
        <v/>
      </c>
      <c r="E354" s="65" t="str">
        <f>IF(C354&lt;&gt;"",VLOOKUP(C354,'Dummy Table'!$B$3:$D$30,3,FALSE),"")</f>
        <v/>
      </c>
      <c r="F354" s="81"/>
      <c r="G354" s="72"/>
      <c r="H354" s="72"/>
      <c r="I354" s="72"/>
      <c r="J354" s="73"/>
      <c r="K354" s="71"/>
      <c r="L354" s="78"/>
      <c r="M354" s="69"/>
      <c r="N354" s="69"/>
      <c r="O354" s="69"/>
      <c r="P354" s="68"/>
      <c r="Q354" s="68"/>
      <c r="R354" s="68"/>
      <c r="S354" s="78"/>
      <c r="T354" s="78"/>
      <c r="U354" s="78"/>
      <c r="V354" s="78"/>
      <c r="W354" s="78"/>
      <c r="X354" s="78"/>
      <c r="Y354" s="78"/>
      <c r="Z354" s="78"/>
    </row>
    <row r="355" spans="1:26" ht="12.75" hidden="1" customHeight="1" x14ac:dyDescent="0.2">
      <c r="B355" s="76" t="str">
        <f>IF(F355="",$J$25,"Ret")</f>
        <v/>
      </c>
      <c r="C355" s="75"/>
      <c r="D355" s="65" t="str">
        <f>IF(C355&lt;&gt;"",VLOOKUP(C355,'Dummy Table'!$B$3:$C$30,2,FALSE),"")</f>
        <v/>
      </c>
      <c r="E355" s="65" t="str">
        <f>IF(C355&lt;&gt;"",VLOOKUP(C355,'Dummy Table'!$B$3:$D$30,3,FALSE),"")</f>
        <v/>
      </c>
      <c r="F355" s="81"/>
      <c r="G355" s="72"/>
      <c r="H355" s="72"/>
      <c r="I355" s="72"/>
      <c r="K355" s="71"/>
    </row>
    <row r="356" spans="1:26" x14ac:dyDescent="0.2">
      <c r="B356" s="52" t="s">
        <v>248</v>
      </c>
      <c r="C356" s="53" t="s">
        <v>316</v>
      </c>
      <c r="D356" s="54" t="str">
        <f>IF(C356&lt;&gt;"",VLOOKUP(C356,'Dummy Table'!$B$3:$C$30,2,FALSE),"")</f>
        <v>Inglaterra</v>
      </c>
      <c r="E356" s="54" t="str">
        <f>IF(C356&lt;&gt;"",VLOOKUP(C356,'Dummy Table'!$B$3:$D$30,3,FALSE),"")</f>
        <v>McLaren 🏆</v>
      </c>
      <c r="F356" s="55"/>
      <c r="H356" s="72"/>
      <c r="K356" s="71"/>
    </row>
    <row r="357" spans="1:26" x14ac:dyDescent="0.2">
      <c r="B357" s="56" t="s">
        <v>238</v>
      </c>
      <c r="C357" s="57" t="s">
        <v>334</v>
      </c>
      <c r="D357" s="54" t="str">
        <f>IF(C357&lt;&gt;"",VLOOKUP(C357,'Dummy Table'!$B$3:$C$30,2,FALSE),"")</f>
        <v>Austrália</v>
      </c>
      <c r="E357" s="54" t="str">
        <f>IF(C357&lt;&gt;"",VLOOKUP(C357,'Dummy Table'!$B$3:$D$30,3,FALSE),"")</f>
        <v>McLaren 🏆</v>
      </c>
      <c r="F357" s="58"/>
      <c r="H357" s="66">
        <f>IF(C357="",F357,0)</f>
        <v>0</v>
      </c>
      <c r="K357" s="71"/>
    </row>
    <row r="358" spans="1:26" x14ac:dyDescent="0.2">
      <c r="A358" s="62">
        <v>12</v>
      </c>
      <c r="B358" s="88">
        <f>VLOOKUP($A358,'Calendário atual'!$A$2:$E$30,2,FALSE)</f>
        <v>45844</v>
      </c>
      <c r="C358" s="162" t="str">
        <f>VLOOKUP($A358,'Calendário atual'!$A$2:$E$30,4,FALSE)</f>
        <v>FORMULA 1 QATAR AIRWAYS BRITISH GRAND PRIX 2025</v>
      </c>
      <c r="D358" s="162"/>
      <c r="E358" s="162"/>
      <c r="F358" s="88" t="str">
        <f>VLOOKUP($A358,'Calendário atual'!$A$2:$E$30,3,FALSE)</f>
        <v>Inglaterra</v>
      </c>
      <c r="G358" s="72"/>
      <c r="H358" s="72"/>
      <c r="I358" s="72"/>
      <c r="K358" s="71"/>
    </row>
    <row r="359" spans="1:26" x14ac:dyDescent="0.2">
      <c r="B359" s="61" t="s">
        <v>14</v>
      </c>
      <c r="C359" s="61" t="s">
        <v>29</v>
      </c>
      <c r="D359" s="61" t="s">
        <v>16</v>
      </c>
      <c r="E359" s="61" t="s">
        <v>17</v>
      </c>
      <c r="F359" s="61" t="s">
        <v>18</v>
      </c>
      <c r="K359" s="71"/>
    </row>
    <row r="360" spans="1:26" x14ac:dyDescent="0.2">
      <c r="B360" s="59">
        <f>$J$2</f>
        <v>1</v>
      </c>
      <c r="C360" s="48" t="s">
        <v>316</v>
      </c>
      <c r="D360" s="49" t="str">
        <f>IF(C360&lt;&gt;"",VLOOKUP(C360,'Dummy Table'!$B$3:$C$30,2,FALSE),"")</f>
        <v>Inglaterra</v>
      </c>
      <c r="E360" s="49" t="str">
        <f>IF(C360&lt;&gt;"",VLOOKUP(C360,'Dummy Table'!$B$3:$D$30,3,FALSE),"")</f>
        <v>McLaren 🏆</v>
      </c>
      <c r="F360" s="50">
        <v>25</v>
      </c>
      <c r="G360" s="66">
        <f>IF(C360="",F360,0)</f>
        <v>0</v>
      </c>
      <c r="H360" s="66">
        <f>IF(C360="",F360,0)</f>
        <v>0</v>
      </c>
      <c r="I360" s="66">
        <f>IF(C360="",1,0)</f>
        <v>0</v>
      </c>
      <c r="K360" s="71"/>
    </row>
    <row r="361" spans="1:26" x14ac:dyDescent="0.2">
      <c r="B361" s="60">
        <f>$J$3</f>
        <v>2</v>
      </c>
      <c r="C361" s="48" t="s">
        <v>334</v>
      </c>
      <c r="D361" s="49" t="str">
        <f>IF(C361&lt;&gt;"",VLOOKUP(C361,'Dummy Table'!$B$3:$C$30,2,FALSE),"")</f>
        <v>Austrália</v>
      </c>
      <c r="E361" s="49" t="str">
        <f>IF(C361&lt;&gt;"",VLOOKUP(C361,'Dummy Table'!$B$3:$D$30,3,FALSE),"")</f>
        <v>McLaren 🏆</v>
      </c>
      <c r="F361" s="50">
        <v>18</v>
      </c>
      <c r="H361" s="66">
        <f>IF(C361="",F361,0)</f>
        <v>0</v>
      </c>
      <c r="K361" s="71"/>
    </row>
    <row r="362" spans="1:26" x14ac:dyDescent="0.2">
      <c r="B362" s="60">
        <f>$J$4</f>
        <v>3</v>
      </c>
      <c r="C362" s="48" t="s">
        <v>257</v>
      </c>
      <c r="D362" s="49" t="str">
        <f>IF(C362&lt;&gt;"",VLOOKUP(C362,'Dummy Table'!$B$3:$C$30,2,FALSE),"")</f>
        <v>Alemanha</v>
      </c>
      <c r="E362" s="49" t="str">
        <f>IF(C362&lt;&gt;"",VLOOKUP(C362,'Dummy Table'!$B$3:$D$30,3,FALSE),"")</f>
        <v>Kick Sauber</v>
      </c>
      <c r="F362" s="50">
        <v>15</v>
      </c>
    </row>
    <row r="363" spans="1:26" x14ac:dyDescent="0.2">
      <c r="B363" s="60">
        <f>$J$5</f>
        <v>4</v>
      </c>
      <c r="C363" s="48" t="s">
        <v>1</v>
      </c>
      <c r="D363" s="49" t="str">
        <f>IF(C363&lt;&gt;"",VLOOKUP(C363,'Dummy Table'!$B$3:$C$30,2,FALSE),"")</f>
        <v>Inglaterra</v>
      </c>
      <c r="E363" s="49" t="str">
        <f>IF(C363&lt;&gt;"",VLOOKUP(C363,'Dummy Table'!$B$3:$D$30,3,FALSE),"")</f>
        <v>Ferrari</v>
      </c>
      <c r="F363" s="50">
        <v>12</v>
      </c>
      <c r="K363" s="78"/>
    </row>
    <row r="364" spans="1:26" x14ac:dyDescent="0.2">
      <c r="B364" s="60">
        <f>$J$6</f>
        <v>5</v>
      </c>
      <c r="C364" s="48" t="s">
        <v>305</v>
      </c>
      <c r="D364" s="49" t="str">
        <f>IF(C364&lt;&gt;"",VLOOKUP(C364,'Dummy Table'!$B$3:$C$30,2,FALSE),"")</f>
        <v>Holanda</v>
      </c>
      <c r="E364" s="49" t="str">
        <f>IF(C364&lt;&gt;"",VLOOKUP(C364,'Dummy Table'!$B$3:$D$30,3,FALSE),"")</f>
        <v>Red Bull</v>
      </c>
      <c r="F364" s="50">
        <v>10</v>
      </c>
    </row>
    <row r="365" spans="1:26" x14ac:dyDescent="0.2">
      <c r="B365" s="60">
        <f>$J$7</f>
        <v>6</v>
      </c>
      <c r="C365" s="48" t="s">
        <v>312</v>
      </c>
      <c r="D365" s="49" t="str">
        <f>IF(C365&lt;&gt;"",VLOOKUP(C365,'Dummy Table'!$B$3:$C$30,2,FALSE),"")</f>
        <v>França</v>
      </c>
      <c r="E365" s="49" t="str">
        <f>IF(C365&lt;&gt;"",VLOOKUP(C365,'Dummy Table'!$B$3:$D$30,3,FALSE),"")</f>
        <v>Alpine</v>
      </c>
      <c r="F365" s="50">
        <v>8</v>
      </c>
      <c r="K365" s="71"/>
    </row>
    <row r="366" spans="1:26" x14ac:dyDescent="0.2">
      <c r="B366" s="60">
        <f>$J$8</f>
        <v>7</v>
      </c>
      <c r="C366" s="48" t="s">
        <v>311</v>
      </c>
      <c r="D366" s="49" t="str">
        <f>IF(C366&lt;&gt;"",VLOOKUP(C366,'Dummy Table'!$B$3:$C$30,2,FALSE),"")</f>
        <v>Canadá</v>
      </c>
      <c r="E366" s="49" t="str">
        <f>IF(C366&lt;&gt;"",VLOOKUP(C366,'Dummy Table'!$B$3:$D$30,3,FALSE),"")</f>
        <v>Aston Martin</v>
      </c>
      <c r="F366" s="50">
        <v>6</v>
      </c>
      <c r="K366" s="71"/>
    </row>
    <row r="367" spans="1:26" x14ac:dyDescent="0.2">
      <c r="B367" s="60">
        <f>$J$9</f>
        <v>8</v>
      </c>
      <c r="C367" s="48" t="s">
        <v>315</v>
      </c>
      <c r="D367" s="49" t="str">
        <f>IF(C367&lt;&gt;"",VLOOKUP(C367,'Dummy Table'!$B$3:$C$30,2,FALSE),"")</f>
        <v>Tailandia</v>
      </c>
      <c r="E367" s="49" t="str">
        <f>IF(C367&lt;&gt;"",VLOOKUP(C367,'Dummy Table'!$B$3:$D$30,3,FALSE),"")</f>
        <v>Williams</v>
      </c>
      <c r="F367" s="50">
        <v>4</v>
      </c>
      <c r="K367" s="71"/>
    </row>
    <row r="368" spans="1:26" s="79" customFormat="1" x14ac:dyDescent="0.2">
      <c r="A368" s="62"/>
      <c r="B368" s="60">
        <f>$J$10</f>
        <v>9</v>
      </c>
      <c r="C368" s="48" t="s">
        <v>30</v>
      </c>
      <c r="D368" s="49" t="str">
        <f>IF(C368&lt;&gt;"",VLOOKUP(C368,'Dummy Table'!$B$3:$C$30,2,FALSE),"")</f>
        <v>Espanha</v>
      </c>
      <c r="E368" s="49" t="str">
        <f>IF(C368&lt;&gt;"",VLOOKUP(C368,'Dummy Table'!$B$3:$D$30,3,FALSE),"")</f>
        <v>Aston Martin</v>
      </c>
      <c r="F368" s="50">
        <v>2</v>
      </c>
      <c r="G368" s="66"/>
      <c r="H368" s="66"/>
      <c r="I368" s="66"/>
      <c r="J368" s="73"/>
      <c r="K368" s="71"/>
      <c r="L368" s="78"/>
      <c r="M368" s="69"/>
      <c r="N368" s="69"/>
      <c r="O368" s="69"/>
      <c r="P368" s="68"/>
      <c r="Q368" s="68"/>
      <c r="R368" s="68"/>
      <c r="S368" s="78"/>
      <c r="T368" s="78"/>
      <c r="U368" s="78"/>
      <c r="V368" s="78"/>
      <c r="W368" s="78"/>
      <c r="X368" s="78"/>
      <c r="Y368" s="78"/>
      <c r="Z368" s="78"/>
    </row>
    <row r="369" spans="1:26" x14ac:dyDescent="0.2">
      <c r="B369" s="60">
        <f>$J$11</f>
        <v>10</v>
      </c>
      <c r="C369" s="48" t="s">
        <v>394</v>
      </c>
      <c r="D369" s="49" t="str">
        <f>IF(C369&lt;&gt;"",VLOOKUP(C369,'Dummy Table'!$B$3:$C$30,2,FALSE),"")</f>
        <v>Inglaterra</v>
      </c>
      <c r="E369" s="49" t="str">
        <f>IF(C369&lt;&gt;"",VLOOKUP(C369,'Dummy Table'!$B$3:$D$30,3,FALSE),"")</f>
        <v>Mercedes</v>
      </c>
      <c r="F369" s="50">
        <v>1</v>
      </c>
      <c r="K369" s="71"/>
    </row>
    <row r="370" spans="1:26" x14ac:dyDescent="0.2">
      <c r="B370" s="60">
        <f>$J$12</f>
        <v>11</v>
      </c>
      <c r="C370" s="48" t="s">
        <v>338</v>
      </c>
      <c r="D370" s="49" t="str">
        <f>IF(C370&lt;&gt;"",VLOOKUP(C370,'Dummy Table'!$B$3:$C$30,2,FALSE),"")</f>
        <v>Inglaterra</v>
      </c>
      <c r="E370" s="49" t="str">
        <f>IF(C370&lt;&gt;"",VLOOKUP(C370,'Dummy Table'!$B$3:$D$30,3,FALSE),"")</f>
        <v>Haas</v>
      </c>
      <c r="F370" s="51"/>
      <c r="K370" s="71"/>
    </row>
    <row r="371" spans="1:26" x14ac:dyDescent="0.2">
      <c r="B371" s="60">
        <f>$J$13</f>
        <v>12</v>
      </c>
      <c r="C371" s="48" t="s">
        <v>343</v>
      </c>
      <c r="D371" s="49" t="str">
        <f>IF(C371&lt;&gt;"",VLOOKUP(C371,'Dummy Table'!$B$3:$C$30,2,FALSE),"")</f>
        <v>Espanha</v>
      </c>
      <c r="E371" s="49" t="str">
        <f>IF(C371&lt;&gt;"",VLOOKUP(C371,'Dummy Table'!$B$3:$D$30,3,FALSE),"")</f>
        <v>Williams</v>
      </c>
      <c r="F371" s="51"/>
      <c r="K371" s="71"/>
    </row>
    <row r="372" spans="1:26" x14ac:dyDescent="0.2">
      <c r="B372" s="60">
        <f>$J$14</f>
        <v>13</v>
      </c>
      <c r="C372" s="48" t="s">
        <v>319</v>
      </c>
      <c r="D372" s="49" t="str">
        <f>IF(C372&lt;&gt;"",VLOOKUP(C372,'Dummy Table'!$B$3:$C$30,2,FALSE),"")</f>
        <v>França</v>
      </c>
      <c r="E372" s="49" t="str">
        <f>IF(C372&lt;&gt;"",VLOOKUP(C372,'Dummy Table'!$B$3:$D$30,3,FALSE),"")</f>
        <v>Haas</v>
      </c>
      <c r="F372" s="51"/>
      <c r="G372" s="72"/>
      <c r="H372" s="72"/>
      <c r="I372" s="72"/>
      <c r="K372" s="71"/>
    </row>
    <row r="373" spans="1:26" x14ac:dyDescent="0.2">
      <c r="B373" s="60">
        <f>$J$15</f>
        <v>14</v>
      </c>
      <c r="C373" s="48" t="s">
        <v>313</v>
      </c>
      <c r="D373" s="49" t="str">
        <f>IF(C373&lt;&gt;"",VLOOKUP(C373,'Dummy Table'!$B$3:$C$30,2,FALSE),"")</f>
        <v>Mônaco</v>
      </c>
      <c r="E373" s="49" t="str">
        <f>IF(C373&lt;&gt;"",VLOOKUP(C373,'Dummy Table'!$B$3:$D$30,3,FALSE),"")</f>
        <v>Ferrari</v>
      </c>
      <c r="F373" s="51"/>
      <c r="G373" s="72"/>
      <c r="H373" s="72"/>
      <c r="I373" s="72"/>
      <c r="K373" s="71"/>
      <c r="M373" s="83"/>
      <c r="N373" s="83"/>
      <c r="O373" s="83"/>
      <c r="P373" s="78"/>
      <c r="Q373" s="78"/>
      <c r="R373" s="78"/>
    </row>
    <row r="374" spans="1:26" x14ac:dyDescent="0.2">
      <c r="B374" s="60">
        <f>$J$16</f>
        <v>15</v>
      </c>
      <c r="C374" s="48" t="s">
        <v>339</v>
      </c>
      <c r="D374" s="49" t="str">
        <f>IF(C374&lt;&gt;"",VLOOKUP(C374,'Dummy Table'!$B$3:$C$30,2,FALSE),"")</f>
        <v>Japão</v>
      </c>
      <c r="E374" s="49" t="str">
        <f>IF(C374&lt;&gt;"",VLOOKUP(C374,'Dummy Table'!$B$3:$D$30,3,FALSE),"")</f>
        <v>Red Bull</v>
      </c>
      <c r="F374" s="51"/>
      <c r="G374" s="72"/>
      <c r="H374" s="72"/>
      <c r="I374" s="72"/>
      <c r="K374" s="71"/>
    </row>
    <row r="375" spans="1:26" x14ac:dyDescent="0.2">
      <c r="B375" s="60">
        <f>$J$17</f>
        <v>16</v>
      </c>
      <c r="C375" s="48" t="s">
        <v>336</v>
      </c>
      <c r="D375" s="49" t="str">
        <f>IF(C375&lt;&gt;"",VLOOKUP(C375,'Dummy Table'!$B$3:$C$30,2,FALSE),"")</f>
        <v>Itália</v>
      </c>
      <c r="E375" s="49" t="str">
        <f>IF(C375&lt;&gt;"",VLOOKUP(C375,'Dummy Table'!$B$3:$D$30,3,FALSE),"")</f>
        <v>Mercedes</v>
      </c>
      <c r="F375" s="51" t="s">
        <v>320</v>
      </c>
      <c r="G375" s="72"/>
      <c r="H375" s="72"/>
      <c r="I375" s="72"/>
      <c r="K375" s="71"/>
    </row>
    <row r="376" spans="1:26" x14ac:dyDescent="0.2">
      <c r="B376" s="60">
        <f>$J$18</f>
        <v>17</v>
      </c>
      <c r="C376" s="48" t="s">
        <v>341</v>
      </c>
      <c r="D376" s="49" t="str">
        <f>IF(C376&lt;&gt;"",VLOOKUP(C376,'Dummy Table'!$B$3:$C$30,2,FALSE),"")</f>
        <v>França</v>
      </c>
      <c r="E376" s="49" t="str">
        <f>IF(C376&lt;&gt;"",VLOOKUP(C376,'Dummy Table'!$B$3:$D$30,3,FALSE),"")</f>
        <v>Racing Bulls</v>
      </c>
      <c r="F376" s="51" t="s">
        <v>320</v>
      </c>
      <c r="G376" s="72"/>
      <c r="H376" s="72"/>
      <c r="I376" s="72"/>
    </row>
    <row r="377" spans="1:26" x14ac:dyDescent="0.2">
      <c r="B377" s="60">
        <f>$J$19</f>
        <v>18</v>
      </c>
      <c r="C377" s="48" t="s">
        <v>344</v>
      </c>
      <c r="D377" s="49" t="str">
        <f>IF(C377&lt;&gt;"",VLOOKUP(C377,'Dummy Table'!$B$3:$C$30,2,FALSE),"")</f>
        <v>Brasil</v>
      </c>
      <c r="E377" s="49" t="str">
        <f>IF(C377&lt;&gt;"",VLOOKUP(C377,'Dummy Table'!$B$3:$D$30,3,FALSE),"")</f>
        <v>Kick Sauber</v>
      </c>
      <c r="F377" s="51" t="s">
        <v>320</v>
      </c>
      <c r="G377" s="72"/>
      <c r="H377" s="72"/>
      <c r="I377" s="72"/>
      <c r="K377" s="78"/>
    </row>
    <row r="378" spans="1:26" x14ac:dyDescent="0.2">
      <c r="B378" s="60">
        <f>$J$20</f>
        <v>19</v>
      </c>
      <c r="C378" s="48" t="s">
        <v>335</v>
      </c>
      <c r="D378" s="49" t="str">
        <f>IF(C378&lt;&gt;"",VLOOKUP(C378,'Dummy Table'!$B$3:$C$30,2,FALSE),"")</f>
        <v>Austrália</v>
      </c>
      <c r="E378" s="49" t="str">
        <f>IF(C378&lt;&gt;"",VLOOKUP(C378,'Dummy Table'!$B$3:$D$30,3,FALSE),"")</f>
        <v>Racing Bulls</v>
      </c>
      <c r="F378" s="51" t="s">
        <v>320</v>
      </c>
      <c r="G378" s="72"/>
      <c r="H378" s="72"/>
      <c r="I378" s="72"/>
    </row>
    <row r="379" spans="1:26" x14ac:dyDescent="0.2">
      <c r="B379" s="60">
        <f>$J$21</f>
        <v>20</v>
      </c>
      <c r="C379" s="48" t="s">
        <v>400</v>
      </c>
      <c r="D379" s="49" t="str">
        <f>IF(C379&lt;&gt;"",VLOOKUP(C379,'Dummy Table'!$B$3:$C$30,2,FALSE),"")</f>
        <v>Argentina</v>
      </c>
      <c r="E379" s="49" t="str">
        <f>IF(C379&lt;&gt;"",VLOOKUP(C379,'Dummy Table'!$B$3:$D$30,3,FALSE),"")</f>
        <v>Alpine</v>
      </c>
      <c r="F379" s="51" t="s">
        <v>399</v>
      </c>
      <c r="G379" s="72"/>
      <c r="H379" s="72"/>
      <c r="I379" s="72"/>
      <c r="K379" s="71"/>
    </row>
    <row r="380" spans="1:26" ht="12.75" hidden="1" customHeight="1" x14ac:dyDescent="0.2">
      <c r="B380" s="76">
        <f>$J$22</f>
        <v>21</v>
      </c>
      <c r="C380" s="75"/>
      <c r="D380" s="65" t="str">
        <f>IF(C380&lt;&gt;"",VLOOKUP(C380,'Dummy Table'!$B$3:$C$30,2,FALSE),"")</f>
        <v/>
      </c>
      <c r="E380" s="65" t="str">
        <f>IF(C380&lt;&gt;"",VLOOKUP(C380,'Dummy Table'!$B$3:$D$30,3,FALSE),"")</f>
        <v/>
      </c>
      <c r="F380" s="77"/>
      <c r="G380" s="72"/>
      <c r="H380" s="72"/>
      <c r="I380" s="72"/>
      <c r="K380" s="71"/>
    </row>
    <row r="381" spans="1:26" ht="12.75" hidden="1" customHeight="1" x14ac:dyDescent="0.2">
      <c r="B381" s="76" t="str">
        <f>$J$23</f>
        <v/>
      </c>
      <c r="C381" s="75"/>
      <c r="D381" s="65" t="str">
        <f>IF(C381&lt;&gt;"",VLOOKUP(C381,'Dummy Table'!$B$3:$C$30,2,FALSE),"")</f>
        <v/>
      </c>
      <c r="E381" s="65" t="str">
        <f>IF(C381&lt;&gt;"",VLOOKUP(C381,'Dummy Table'!$B$3:$D$30,3,FALSE),"")</f>
        <v/>
      </c>
      <c r="F381" s="80"/>
      <c r="G381" s="72"/>
      <c r="H381" s="72"/>
      <c r="I381" s="72"/>
      <c r="K381" s="71"/>
    </row>
    <row r="382" spans="1:26" s="79" customFormat="1" ht="12.75" hidden="1" customHeight="1" x14ac:dyDescent="0.2">
      <c r="A382" s="62"/>
      <c r="B382" s="76" t="str">
        <f>IF(F382="",$J$24,"Ret")</f>
        <v/>
      </c>
      <c r="C382" s="75"/>
      <c r="D382" s="65" t="str">
        <f>IF(C382&lt;&gt;"",VLOOKUP(C382,'Dummy Table'!$B$3:$C$30,2,FALSE),"")</f>
        <v/>
      </c>
      <c r="E382" s="65" t="str">
        <f>IF(C382&lt;&gt;"",VLOOKUP(C382,'Dummy Table'!$B$3:$D$30,3,FALSE),"")</f>
        <v/>
      </c>
      <c r="F382" s="81"/>
      <c r="G382" s="72"/>
      <c r="H382" s="72"/>
      <c r="I382" s="72"/>
      <c r="J382" s="73"/>
      <c r="K382" s="71"/>
      <c r="L382" s="78"/>
      <c r="M382" s="69"/>
      <c r="N382" s="69"/>
      <c r="O382" s="69"/>
      <c r="P382" s="68"/>
      <c r="Q382" s="68"/>
      <c r="R382" s="68"/>
      <c r="S382" s="78"/>
      <c r="T382" s="78"/>
      <c r="U382" s="78"/>
      <c r="V382" s="78"/>
      <c r="W382" s="78"/>
      <c r="X382" s="78"/>
      <c r="Y382" s="78"/>
      <c r="Z382" s="78"/>
    </row>
    <row r="383" spans="1:26" ht="12.75" hidden="1" customHeight="1" x14ac:dyDescent="0.2">
      <c r="B383" s="76" t="str">
        <f>IF(F383="",$J$25,"Ret")</f>
        <v/>
      </c>
      <c r="C383" s="75"/>
      <c r="D383" s="65" t="str">
        <f>IF(C383&lt;&gt;"",VLOOKUP(C383,'Dummy Table'!$B$3:$C$30,2,FALSE),"")</f>
        <v/>
      </c>
      <c r="E383" s="65" t="str">
        <f>IF(C383&lt;&gt;"",VLOOKUP(C383,'Dummy Table'!$B$3:$D$30,3,FALSE),"")</f>
        <v/>
      </c>
      <c r="F383" s="81"/>
      <c r="G383" s="72"/>
      <c r="H383" s="72"/>
      <c r="I383" s="72"/>
      <c r="K383" s="71"/>
    </row>
    <row r="384" spans="1:26" x14ac:dyDescent="0.2">
      <c r="B384" s="52" t="s">
        <v>248</v>
      </c>
      <c r="C384" s="53" t="s">
        <v>305</v>
      </c>
      <c r="D384" s="54" t="str">
        <f>IF(C384&lt;&gt;"",VLOOKUP(C384,'Dummy Table'!$B$3:$C$30,2,FALSE),"")</f>
        <v>Holanda</v>
      </c>
      <c r="E384" s="54" t="str">
        <f>IF(C384&lt;&gt;"",VLOOKUP(C384,'Dummy Table'!$B$3:$D$30,3,FALSE),"")</f>
        <v>Red Bull</v>
      </c>
      <c r="F384" s="55"/>
      <c r="H384" s="72"/>
      <c r="K384" s="71"/>
    </row>
    <row r="385" spans="1:26" x14ac:dyDescent="0.2">
      <c r="B385" s="56" t="s">
        <v>238</v>
      </c>
      <c r="C385" s="57" t="s">
        <v>334</v>
      </c>
      <c r="D385" s="54" t="str">
        <f>IF(C385&lt;&gt;"",VLOOKUP(C385,'Dummy Table'!$B$3:$C$30,2,FALSE),"")</f>
        <v>Austrália</v>
      </c>
      <c r="E385" s="54" t="str">
        <f>IF(C385&lt;&gt;"",VLOOKUP(C385,'Dummy Table'!$B$3:$D$30,3,FALSE),"")</f>
        <v>McLaren 🏆</v>
      </c>
      <c r="F385" s="58"/>
      <c r="H385" s="66">
        <f>IF(C385="",F385,0)</f>
        <v>0</v>
      </c>
      <c r="K385" s="71"/>
    </row>
    <row r="386" spans="1:26" x14ac:dyDescent="0.2">
      <c r="A386" s="62">
        <v>13</v>
      </c>
      <c r="B386" s="88">
        <f>VLOOKUP($A386,'Calendário atual'!$A$2:$E$30,2,FALSE)</f>
        <v>45865</v>
      </c>
      <c r="C386" s="162" t="str">
        <f>VLOOKUP($A386,'Calendário atual'!$A$2:$E$30,4,FALSE)</f>
        <v>FORMULA 1 MOËT &amp; CHANDON BELGIAN GRAND PRIX 2025</v>
      </c>
      <c r="D386" s="162"/>
      <c r="E386" s="162"/>
      <c r="F386" s="88" t="str">
        <f>VLOOKUP($A386,'Calendário atual'!$A$2:$E$30,3,FALSE)</f>
        <v>Bélgica</v>
      </c>
      <c r="G386" s="72"/>
      <c r="H386" s="72"/>
      <c r="I386" s="72"/>
      <c r="K386" s="71"/>
    </row>
    <row r="387" spans="1:26" x14ac:dyDescent="0.2">
      <c r="B387" s="134"/>
      <c r="C387" s="136" t="s">
        <v>396</v>
      </c>
      <c r="D387" s="135"/>
      <c r="E387" s="135"/>
      <c r="F387" s="135"/>
      <c r="G387" s="72"/>
      <c r="H387" s="72"/>
      <c r="I387" s="72"/>
      <c r="K387" s="82"/>
      <c r="M387" s="74"/>
      <c r="N387" s="74"/>
      <c r="O387" s="74"/>
      <c r="P387" s="74"/>
      <c r="Q387" s="74"/>
      <c r="R387" s="74"/>
      <c r="S387" s="74"/>
      <c r="T387" s="74"/>
      <c r="V387" s="68"/>
      <c r="W387" s="68"/>
      <c r="X387" s="68"/>
    </row>
    <row r="388" spans="1:26" x14ac:dyDescent="0.2">
      <c r="B388" s="61" t="s">
        <v>14</v>
      </c>
      <c r="C388" s="61" t="s">
        <v>29</v>
      </c>
      <c r="D388" s="61" t="s">
        <v>16</v>
      </c>
      <c r="E388" s="61" t="s">
        <v>17</v>
      </c>
      <c r="F388" s="61" t="s">
        <v>18</v>
      </c>
      <c r="M388" s="83"/>
      <c r="N388" s="83"/>
      <c r="O388" s="83"/>
      <c r="P388" s="78"/>
      <c r="Q388" s="78"/>
      <c r="R388" s="78"/>
      <c r="V388" s="68"/>
      <c r="W388" s="68"/>
      <c r="X388" s="68"/>
    </row>
    <row r="389" spans="1:26" x14ac:dyDescent="0.2">
      <c r="B389" s="59">
        <f>$J$2</f>
        <v>1</v>
      </c>
      <c r="C389" s="48" t="s">
        <v>305</v>
      </c>
      <c r="D389" s="49" t="str">
        <f>IF(C389&lt;&gt;"",VLOOKUP(C389,'Dummy Table'!$B$3:$C$30,2,FALSE),"")</f>
        <v>Holanda</v>
      </c>
      <c r="E389" s="49" t="str">
        <f>IF(C389&lt;&gt;"",VLOOKUP(C389,'Dummy Table'!$B$3:$D$30,3,FALSE),"")</f>
        <v>Red Bull</v>
      </c>
      <c r="F389" s="50">
        <v>8</v>
      </c>
      <c r="G389" s="66">
        <f>IF(C389="",F389,0)</f>
        <v>0</v>
      </c>
      <c r="H389" s="66">
        <f>IF(C389="",F389,0)</f>
        <v>0</v>
      </c>
      <c r="K389" s="71"/>
      <c r="M389" s="130"/>
      <c r="N389" s="130"/>
      <c r="O389" s="130"/>
      <c r="V389" s="68"/>
      <c r="W389" s="68"/>
      <c r="X389" s="68"/>
    </row>
    <row r="390" spans="1:26" x14ac:dyDescent="0.2">
      <c r="B390" s="60">
        <f>$J$3</f>
        <v>2</v>
      </c>
      <c r="C390" s="48" t="s">
        <v>334</v>
      </c>
      <c r="D390" s="49" t="str">
        <f>IF(C390&lt;&gt;"",VLOOKUP(C390,'Dummy Table'!$B$3:$C$30,2,FALSE),"")</f>
        <v>Austrália</v>
      </c>
      <c r="E390" s="49" t="str">
        <f>IF(C390&lt;&gt;"",VLOOKUP(C390,'Dummy Table'!$B$3:$D$30,3,FALSE),"")</f>
        <v>McLaren 🏆</v>
      </c>
      <c r="F390" s="50">
        <v>7</v>
      </c>
      <c r="H390" s="66">
        <f>IF(C390="",F390,0)</f>
        <v>0</v>
      </c>
      <c r="K390" s="71"/>
      <c r="M390" s="130"/>
      <c r="N390" s="130"/>
      <c r="O390" s="130"/>
    </row>
    <row r="391" spans="1:26" x14ac:dyDescent="0.2">
      <c r="B391" s="60">
        <f>$J$4</f>
        <v>3</v>
      </c>
      <c r="C391" s="48" t="s">
        <v>316</v>
      </c>
      <c r="D391" s="49" t="str">
        <f>IF(C391&lt;&gt;"",VLOOKUP(C391,'Dummy Table'!$B$3:$C$30,2,FALSE),"")</f>
        <v>Inglaterra</v>
      </c>
      <c r="E391" s="49" t="str">
        <f>IF(C391&lt;&gt;"",VLOOKUP(C391,'Dummy Table'!$B$3:$D$30,3,FALSE),"")</f>
        <v>McLaren 🏆</v>
      </c>
      <c r="F391" s="50">
        <v>6</v>
      </c>
      <c r="M391" s="130"/>
      <c r="N391" s="130"/>
      <c r="O391" s="130"/>
    </row>
    <row r="392" spans="1:26" x14ac:dyDescent="0.2">
      <c r="B392" s="60">
        <f>$J$5</f>
        <v>4</v>
      </c>
      <c r="C392" s="48" t="s">
        <v>313</v>
      </c>
      <c r="D392" s="49" t="str">
        <f>IF(C392&lt;&gt;"",VLOOKUP(C392,'Dummy Table'!$B$3:$C$30,2,FALSE),"")</f>
        <v>Mônaco</v>
      </c>
      <c r="E392" s="49" t="str">
        <f>IF(C392&lt;&gt;"",VLOOKUP(C392,'Dummy Table'!$B$3:$D$30,3,FALSE),"")</f>
        <v>Ferrari</v>
      </c>
      <c r="F392" s="50">
        <v>5</v>
      </c>
      <c r="K392" s="78"/>
      <c r="M392" s="130"/>
      <c r="N392" s="130"/>
      <c r="O392" s="130"/>
    </row>
    <row r="393" spans="1:26" x14ac:dyDescent="0.2">
      <c r="B393" s="60">
        <f>$J$6</f>
        <v>5</v>
      </c>
      <c r="C393" s="48" t="s">
        <v>319</v>
      </c>
      <c r="D393" s="49" t="str">
        <f>IF(C393&lt;&gt;"",VLOOKUP(C393,'Dummy Table'!$B$3:$C$30,2,FALSE),"")</f>
        <v>França</v>
      </c>
      <c r="E393" s="49" t="str">
        <f>IF(C393&lt;&gt;"",VLOOKUP(C393,'Dummy Table'!$B$3:$D$30,3,FALSE),"")</f>
        <v>Haas</v>
      </c>
      <c r="F393" s="50">
        <v>4</v>
      </c>
      <c r="M393" s="130"/>
      <c r="N393" s="130"/>
      <c r="O393" s="130"/>
    </row>
    <row r="394" spans="1:26" x14ac:dyDescent="0.2">
      <c r="B394" s="60">
        <f>$J$7</f>
        <v>6</v>
      </c>
      <c r="C394" s="48" t="s">
        <v>343</v>
      </c>
      <c r="D394" s="49" t="str">
        <f>IF(C394&lt;&gt;"",VLOOKUP(C394,'Dummy Table'!$B$3:$C$30,2,FALSE),"")</f>
        <v>Espanha</v>
      </c>
      <c r="E394" s="49" t="str">
        <f>IF(C394&lt;&gt;"",VLOOKUP(C394,'Dummy Table'!$B$3:$D$30,3,FALSE),"")</f>
        <v>Williams</v>
      </c>
      <c r="F394" s="50">
        <v>3</v>
      </c>
      <c r="K394" s="71"/>
      <c r="M394" s="130"/>
      <c r="N394" s="130"/>
      <c r="O394" s="130"/>
    </row>
    <row r="395" spans="1:26" x14ac:dyDescent="0.2">
      <c r="B395" s="60">
        <f>$J$8</f>
        <v>7</v>
      </c>
      <c r="C395" s="48" t="s">
        <v>338</v>
      </c>
      <c r="D395" s="49" t="str">
        <f>IF(C395&lt;&gt;"",VLOOKUP(C395,'Dummy Table'!$B$3:$C$30,2,FALSE),"")</f>
        <v>Inglaterra</v>
      </c>
      <c r="E395" s="49" t="str">
        <f>IF(C395&lt;&gt;"",VLOOKUP(C395,'Dummy Table'!$B$3:$D$30,3,FALSE),"")</f>
        <v>Haas</v>
      </c>
      <c r="F395" s="50">
        <v>2</v>
      </c>
      <c r="K395" s="71"/>
      <c r="M395" s="130"/>
      <c r="N395" s="130"/>
      <c r="O395" s="130"/>
    </row>
    <row r="396" spans="1:26" x14ac:dyDescent="0.2">
      <c r="B396" s="60">
        <f>$J$9</f>
        <v>8</v>
      </c>
      <c r="C396" s="48" t="s">
        <v>341</v>
      </c>
      <c r="D396" s="49" t="str">
        <f>IF(C396&lt;&gt;"",VLOOKUP(C396,'Dummy Table'!$B$3:$C$30,2,FALSE),"")</f>
        <v>França</v>
      </c>
      <c r="E396" s="49" t="str">
        <f>IF(C396&lt;&gt;"",VLOOKUP(C396,'Dummy Table'!$B$3:$D$30,3,FALSE),"")</f>
        <v>Racing Bulls</v>
      </c>
      <c r="F396" s="50">
        <v>1</v>
      </c>
      <c r="K396" s="71"/>
      <c r="M396" s="130"/>
      <c r="N396" s="130"/>
      <c r="O396" s="130"/>
    </row>
    <row r="397" spans="1:26" s="79" customFormat="1" x14ac:dyDescent="0.2">
      <c r="A397" s="62"/>
      <c r="B397" s="60">
        <f>$J$10</f>
        <v>9</v>
      </c>
      <c r="C397" s="48" t="s">
        <v>344</v>
      </c>
      <c r="D397" s="49" t="str">
        <f>IF(C397&lt;&gt;"",VLOOKUP(C397,'Dummy Table'!$B$3:$C$30,2,FALSE),"")</f>
        <v>Brasil</v>
      </c>
      <c r="E397" s="49" t="str">
        <f>IF(C397&lt;&gt;"",VLOOKUP(C397,'Dummy Table'!$B$3:$D$30,3,FALSE),"")</f>
        <v>Kick Sauber</v>
      </c>
      <c r="F397" s="50"/>
      <c r="G397" s="66"/>
      <c r="H397" s="66"/>
      <c r="I397" s="66"/>
      <c r="J397" s="73"/>
      <c r="K397" s="71"/>
      <c r="L397" s="78"/>
      <c r="M397" s="130"/>
      <c r="N397" s="130"/>
      <c r="O397" s="130"/>
      <c r="P397" s="68"/>
      <c r="Q397" s="68"/>
      <c r="R397" s="68"/>
      <c r="S397" s="78"/>
      <c r="T397" s="78"/>
      <c r="U397" s="78"/>
      <c r="V397" s="78"/>
      <c r="W397" s="78"/>
      <c r="X397" s="78"/>
      <c r="Y397" s="78"/>
      <c r="Z397" s="78"/>
    </row>
    <row r="398" spans="1:26" x14ac:dyDescent="0.2">
      <c r="B398" s="60">
        <f>$J$11</f>
        <v>10</v>
      </c>
      <c r="C398" s="48" t="s">
        <v>335</v>
      </c>
      <c r="D398" s="49" t="str">
        <f>IF(C398&lt;&gt;"",VLOOKUP(C398,'Dummy Table'!$B$3:$C$30,2,FALSE),"")</f>
        <v>Austrália</v>
      </c>
      <c r="E398" s="49" t="str">
        <f>IF(C398&lt;&gt;"",VLOOKUP(C398,'Dummy Table'!$B$3:$D$30,3,FALSE),"")</f>
        <v>Racing Bulls</v>
      </c>
      <c r="F398" s="50"/>
      <c r="K398" s="71"/>
      <c r="M398" s="130"/>
      <c r="N398" s="130"/>
      <c r="O398" s="130"/>
    </row>
    <row r="399" spans="1:26" x14ac:dyDescent="0.2">
      <c r="B399" s="60">
        <f>$J$12</f>
        <v>11</v>
      </c>
      <c r="C399" s="48" t="s">
        <v>339</v>
      </c>
      <c r="D399" s="49" t="str">
        <f>IF(C399&lt;&gt;"",VLOOKUP(C399,'Dummy Table'!$B$3:$C$30,2,FALSE),"")</f>
        <v>Japão</v>
      </c>
      <c r="E399" s="49" t="str">
        <f>IF(C399&lt;&gt;"",VLOOKUP(C399,'Dummy Table'!$B$3:$D$30,3,FALSE),"")</f>
        <v>Red Bull</v>
      </c>
      <c r="F399" s="51"/>
      <c r="K399" s="71"/>
      <c r="M399" s="130"/>
      <c r="N399" s="130"/>
      <c r="O399" s="130"/>
    </row>
    <row r="400" spans="1:26" x14ac:dyDescent="0.2">
      <c r="B400" s="60">
        <f>$J$13</f>
        <v>12</v>
      </c>
      <c r="C400" s="48" t="s">
        <v>394</v>
      </c>
      <c r="D400" s="49" t="str">
        <f>IF(C400&lt;&gt;"",VLOOKUP(C400,'Dummy Table'!$B$3:$C$30,2,FALSE),"")</f>
        <v>Inglaterra</v>
      </c>
      <c r="E400" s="49" t="str">
        <f>IF(C400&lt;&gt;"",VLOOKUP(C400,'Dummy Table'!$B$3:$D$30,3,FALSE),"")</f>
        <v>Mercedes</v>
      </c>
      <c r="F400" s="51"/>
      <c r="K400" s="71"/>
      <c r="M400" s="130"/>
      <c r="N400" s="130"/>
      <c r="O400" s="130"/>
    </row>
    <row r="401" spans="2:24" x14ac:dyDescent="0.2">
      <c r="B401" s="60">
        <f>$J$14</f>
        <v>13</v>
      </c>
      <c r="C401" s="48" t="s">
        <v>311</v>
      </c>
      <c r="D401" s="49" t="str">
        <f>IF(C401&lt;&gt;"",VLOOKUP(C401,'Dummy Table'!$B$3:$C$30,2,FALSE),"")</f>
        <v>Canadá</v>
      </c>
      <c r="E401" s="49" t="str">
        <f>IF(C401&lt;&gt;"",VLOOKUP(C401,'Dummy Table'!$B$3:$D$30,3,FALSE),"")</f>
        <v>Aston Martin</v>
      </c>
      <c r="F401" s="51"/>
      <c r="G401" s="72"/>
      <c r="H401" s="72"/>
      <c r="I401" s="72"/>
      <c r="K401" s="71"/>
      <c r="M401" s="130"/>
      <c r="N401" s="130"/>
      <c r="O401" s="130"/>
    </row>
    <row r="402" spans="2:24" x14ac:dyDescent="0.2">
      <c r="B402" s="60">
        <f>$J$15</f>
        <v>14</v>
      </c>
      <c r="C402" s="48" t="s">
        <v>30</v>
      </c>
      <c r="D402" s="49" t="str">
        <f>IF(C402&lt;&gt;"",VLOOKUP(C402,'Dummy Table'!$B$3:$C$30,2,FALSE),"")</f>
        <v>Espanha</v>
      </c>
      <c r="E402" s="49" t="str">
        <f>IF(C402&lt;&gt;"",VLOOKUP(C402,'Dummy Table'!$B$3:$D$30,3,FALSE),"")</f>
        <v>Aston Martin</v>
      </c>
      <c r="F402" s="51"/>
      <c r="G402" s="72"/>
      <c r="H402" s="72"/>
      <c r="I402" s="72"/>
      <c r="K402" s="71"/>
      <c r="M402" s="83"/>
      <c r="N402" s="83"/>
      <c r="O402" s="83"/>
      <c r="P402" s="78"/>
      <c r="Q402" s="78"/>
      <c r="R402" s="78"/>
    </row>
    <row r="403" spans="2:24" x14ac:dyDescent="0.2">
      <c r="B403" s="60">
        <f>$J$16</f>
        <v>15</v>
      </c>
      <c r="C403" s="48" t="s">
        <v>1</v>
      </c>
      <c r="D403" s="49" t="str">
        <f>IF(C403&lt;&gt;"",VLOOKUP(C403,'Dummy Table'!$B$3:$C$30,2,FALSE),"")</f>
        <v>Inglaterra</v>
      </c>
      <c r="E403" s="49" t="str">
        <f>IF(C403&lt;&gt;"",VLOOKUP(C403,'Dummy Table'!$B$3:$D$30,3,FALSE),"")</f>
        <v>Ferrari</v>
      </c>
      <c r="F403" s="51"/>
      <c r="G403" s="72"/>
      <c r="H403" s="72"/>
      <c r="I403" s="72"/>
      <c r="K403" s="71"/>
      <c r="M403" s="130"/>
      <c r="N403" s="130"/>
      <c r="O403" s="130"/>
    </row>
    <row r="404" spans="2:24" x14ac:dyDescent="0.2">
      <c r="B404" s="60">
        <f>$J$17</f>
        <v>16</v>
      </c>
      <c r="C404" s="48" t="s">
        <v>315</v>
      </c>
      <c r="D404" s="49" t="str">
        <f>IF(C404&lt;&gt;"",VLOOKUP(C404,'Dummy Table'!$B$3:$C$30,2,FALSE),"")</f>
        <v>Tailandia</v>
      </c>
      <c r="E404" s="49" t="str">
        <f>IF(C404&lt;&gt;"",VLOOKUP(C404,'Dummy Table'!$B$3:$D$30,3,FALSE),"")</f>
        <v>Williams</v>
      </c>
      <c r="F404" s="51"/>
      <c r="G404" s="72"/>
      <c r="H404" s="72"/>
      <c r="I404" s="72"/>
      <c r="K404" s="71"/>
      <c r="M404" s="130"/>
      <c r="N404" s="130"/>
      <c r="O404" s="130"/>
    </row>
    <row r="405" spans="2:24" x14ac:dyDescent="0.2">
      <c r="B405" s="60">
        <f>$J$18</f>
        <v>17</v>
      </c>
      <c r="C405" s="48" t="s">
        <v>336</v>
      </c>
      <c r="D405" s="49" t="str">
        <f>IF(C405&lt;&gt;"",VLOOKUP(C405,'Dummy Table'!$B$3:$C$30,2,FALSE),"")</f>
        <v>Itália</v>
      </c>
      <c r="E405" s="49" t="str">
        <f>IF(C405&lt;&gt;"",VLOOKUP(C405,'Dummy Table'!$B$3:$D$30,3,FALSE),"")</f>
        <v>Mercedes</v>
      </c>
      <c r="F405" s="51"/>
      <c r="G405" s="72"/>
      <c r="H405" s="72"/>
      <c r="I405" s="72"/>
      <c r="M405" s="130"/>
      <c r="N405" s="130"/>
      <c r="O405" s="130"/>
    </row>
    <row r="406" spans="2:24" x14ac:dyDescent="0.2">
      <c r="B406" s="60">
        <f>$J$19</f>
        <v>18</v>
      </c>
      <c r="C406" s="48" t="s">
        <v>257</v>
      </c>
      <c r="D406" s="49" t="str">
        <f>IF(C406&lt;&gt;"",VLOOKUP(C406,'Dummy Table'!$B$3:$C$30,2,FALSE),"")</f>
        <v>Alemanha</v>
      </c>
      <c r="E406" s="49" t="str">
        <f>IF(C406&lt;&gt;"",VLOOKUP(C406,'Dummy Table'!$B$3:$D$30,3,FALSE),"")</f>
        <v>Kick Sauber</v>
      </c>
      <c r="F406" s="51"/>
      <c r="G406" s="72"/>
      <c r="H406" s="72"/>
      <c r="I406" s="72"/>
      <c r="K406" s="78"/>
      <c r="M406" s="130"/>
      <c r="N406" s="130"/>
      <c r="O406" s="130"/>
    </row>
    <row r="407" spans="2:24" x14ac:dyDescent="0.2">
      <c r="B407" s="60">
        <f>$J$20</f>
        <v>19</v>
      </c>
      <c r="C407" s="48" t="s">
        <v>400</v>
      </c>
      <c r="D407" s="49" t="str">
        <f>IF(C407&lt;&gt;"",VLOOKUP(C407,'Dummy Table'!$B$3:$C$30,2,FALSE),"")</f>
        <v>Argentina</v>
      </c>
      <c r="E407" s="49" t="str">
        <f>IF(C407&lt;&gt;"",VLOOKUP(C407,'Dummy Table'!$B$3:$D$30,3,FALSE),"")</f>
        <v>Alpine</v>
      </c>
      <c r="F407" s="51"/>
      <c r="G407" s="72"/>
      <c r="H407" s="72"/>
      <c r="I407" s="72"/>
      <c r="M407" s="130"/>
      <c r="N407" s="130"/>
      <c r="O407" s="130"/>
    </row>
    <row r="408" spans="2:24" x14ac:dyDescent="0.2">
      <c r="B408" s="60">
        <f>$J$21</f>
        <v>20</v>
      </c>
      <c r="C408" s="48" t="s">
        <v>312</v>
      </c>
      <c r="D408" s="49" t="str">
        <f>IF(C408&lt;&gt;"",VLOOKUP(C408,'Dummy Table'!$B$3:$C$30,2,FALSE),"")</f>
        <v>França</v>
      </c>
      <c r="E408" s="49" t="str">
        <f>IF(C408&lt;&gt;"",VLOOKUP(C408,'Dummy Table'!$B$3:$D$30,3,FALSE),"")</f>
        <v>Alpine</v>
      </c>
      <c r="F408" s="51" t="s">
        <v>320</v>
      </c>
      <c r="G408" s="72"/>
      <c r="H408" s="72"/>
      <c r="I408" s="72"/>
      <c r="K408" s="71"/>
      <c r="M408" s="130"/>
      <c r="N408" s="130"/>
      <c r="O408" s="130"/>
    </row>
    <row r="409" spans="2:24" hidden="1" x14ac:dyDescent="0.2">
      <c r="B409" s="60"/>
      <c r="C409" s="48"/>
      <c r="D409" s="49"/>
      <c r="E409" s="49"/>
      <c r="F409" s="51"/>
      <c r="G409" s="72"/>
      <c r="H409" s="72"/>
      <c r="I409" s="72"/>
      <c r="K409" s="71"/>
      <c r="M409" s="130"/>
      <c r="N409" s="130"/>
      <c r="O409" s="130"/>
    </row>
    <row r="410" spans="2:24" x14ac:dyDescent="0.2">
      <c r="B410" s="134"/>
      <c r="C410" s="136" t="s">
        <v>397</v>
      </c>
      <c r="D410" s="135"/>
      <c r="E410" s="135"/>
      <c r="F410" s="135"/>
      <c r="G410" s="72"/>
      <c r="H410" s="72"/>
      <c r="I410" s="72"/>
      <c r="K410" s="82"/>
      <c r="M410" s="74"/>
      <c r="N410" s="74"/>
      <c r="O410" s="74"/>
      <c r="P410" s="74"/>
      <c r="Q410" s="74"/>
      <c r="R410" s="74"/>
      <c r="S410" s="74"/>
      <c r="T410" s="74"/>
      <c r="V410" s="68"/>
      <c r="W410" s="68"/>
      <c r="X410" s="68"/>
    </row>
    <row r="411" spans="2:24" x14ac:dyDescent="0.2">
      <c r="B411" s="61" t="s">
        <v>14</v>
      </c>
      <c r="C411" s="61" t="s">
        <v>29</v>
      </c>
      <c r="D411" s="61" t="s">
        <v>16</v>
      </c>
      <c r="E411" s="61" t="s">
        <v>17</v>
      </c>
      <c r="F411" s="61" t="s">
        <v>18</v>
      </c>
      <c r="K411" s="71"/>
    </row>
    <row r="412" spans="2:24" x14ac:dyDescent="0.2">
      <c r="B412" s="59">
        <f>$J$2</f>
        <v>1</v>
      </c>
      <c r="C412" s="48" t="s">
        <v>334</v>
      </c>
      <c r="D412" s="49" t="str">
        <f>IF(C412&lt;&gt;"",VLOOKUP(C412,'Dummy Table'!$B$3:$C$30,2,FALSE),"")</f>
        <v>Austrália</v>
      </c>
      <c r="E412" s="49" t="str">
        <f>IF(C412&lt;&gt;"",VLOOKUP(C412,'Dummy Table'!$B$3:$D$30,3,FALSE),"")</f>
        <v>McLaren 🏆</v>
      </c>
      <c r="F412" s="50">
        <v>25</v>
      </c>
      <c r="G412" s="66">
        <f>IF(C412="",F412,0)</f>
        <v>0</v>
      </c>
      <c r="H412" s="66">
        <f>IF(C412="",F412,0)</f>
        <v>0</v>
      </c>
      <c r="I412" s="66">
        <f>IF(C412="",1,0)</f>
        <v>0</v>
      </c>
      <c r="K412" s="71"/>
    </row>
    <row r="413" spans="2:24" x14ac:dyDescent="0.2">
      <c r="B413" s="60">
        <f>$J$3</f>
        <v>2</v>
      </c>
      <c r="C413" s="48" t="s">
        <v>316</v>
      </c>
      <c r="D413" s="49" t="str">
        <f>IF(C413&lt;&gt;"",VLOOKUP(C413,'Dummy Table'!$B$3:$C$30,2,FALSE),"")</f>
        <v>Inglaterra</v>
      </c>
      <c r="E413" s="49" t="str">
        <f>IF(C413&lt;&gt;"",VLOOKUP(C413,'Dummy Table'!$B$3:$D$30,3,FALSE),"")</f>
        <v>McLaren 🏆</v>
      </c>
      <c r="F413" s="50">
        <v>18</v>
      </c>
      <c r="H413" s="66">
        <f>IF(C413="",F413,0)</f>
        <v>0</v>
      </c>
      <c r="K413" s="71"/>
    </row>
    <row r="414" spans="2:24" x14ac:dyDescent="0.2">
      <c r="B414" s="60">
        <f>$J$4</f>
        <v>3</v>
      </c>
      <c r="C414" s="48" t="s">
        <v>313</v>
      </c>
      <c r="D414" s="49" t="str">
        <f>IF(C414&lt;&gt;"",VLOOKUP(C414,'Dummy Table'!$B$3:$C$30,2,FALSE),"")</f>
        <v>Mônaco</v>
      </c>
      <c r="E414" s="49" t="str">
        <f>IF(C414&lt;&gt;"",VLOOKUP(C414,'Dummy Table'!$B$3:$D$30,3,FALSE),"")</f>
        <v>Ferrari</v>
      </c>
      <c r="F414" s="50">
        <v>15</v>
      </c>
    </row>
    <row r="415" spans="2:24" x14ac:dyDescent="0.2">
      <c r="B415" s="60">
        <f>$J$5</f>
        <v>4</v>
      </c>
      <c r="C415" s="48" t="s">
        <v>305</v>
      </c>
      <c r="D415" s="49" t="str">
        <f>IF(C415&lt;&gt;"",VLOOKUP(C415,'Dummy Table'!$B$3:$C$30,2,FALSE),"")</f>
        <v>Holanda</v>
      </c>
      <c r="E415" s="49" t="str">
        <f>IF(C415&lt;&gt;"",VLOOKUP(C415,'Dummy Table'!$B$3:$D$30,3,FALSE),"")</f>
        <v>Red Bull</v>
      </c>
      <c r="F415" s="50">
        <v>12</v>
      </c>
      <c r="K415" s="78"/>
    </row>
    <row r="416" spans="2:24" x14ac:dyDescent="0.2">
      <c r="B416" s="60">
        <f>$J$6</f>
        <v>5</v>
      </c>
      <c r="C416" s="48" t="s">
        <v>394</v>
      </c>
      <c r="D416" s="49" t="str">
        <f>IF(C416&lt;&gt;"",VLOOKUP(C416,'Dummy Table'!$B$3:$C$30,2,FALSE),"")</f>
        <v>Inglaterra</v>
      </c>
      <c r="E416" s="49" t="str">
        <f>IF(C416&lt;&gt;"",VLOOKUP(C416,'Dummy Table'!$B$3:$D$30,3,FALSE),"")</f>
        <v>Mercedes</v>
      </c>
      <c r="F416" s="50">
        <v>10</v>
      </c>
    </row>
    <row r="417" spans="1:26" x14ac:dyDescent="0.2">
      <c r="B417" s="60">
        <f>$J$7</f>
        <v>6</v>
      </c>
      <c r="C417" s="48" t="s">
        <v>315</v>
      </c>
      <c r="D417" s="49" t="str">
        <f>IF(C417&lt;&gt;"",VLOOKUP(C417,'Dummy Table'!$B$3:$C$30,2,FALSE),"")</f>
        <v>Tailandia</v>
      </c>
      <c r="E417" s="49" t="str">
        <f>IF(C417&lt;&gt;"",VLOOKUP(C417,'Dummy Table'!$B$3:$D$30,3,FALSE),"")</f>
        <v>Williams</v>
      </c>
      <c r="F417" s="50">
        <v>8</v>
      </c>
      <c r="K417" s="71"/>
    </row>
    <row r="418" spans="1:26" x14ac:dyDescent="0.2">
      <c r="B418" s="60">
        <f>$J$8</f>
        <v>7</v>
      </c>
      <c r="C418" s="48" t="s">
        <v>1</v>
      </c>
      <c r="D418" s="49" t="str">
        <f>IF(C418&lt;&gt;"",VLOOKUP(C418,'Dummy Table'!$B$3:$C$30,2,FALSE),"")</f>
        <v>Inglaterra</v>
      </c>
      <c r="E418" s="49" t="str">
        <f>IF(C418&lt;&gt;"",VLOOKUP(C418,'Dummy Table'!$B$3:$D$30,3,FALSE),"")</f>
        <v>Ferrari</v>
      </c>
      <c r="F418" s="50">
        <v>6</v>
      </c>
      <c r="K418" s="71"/>
    </row>
    <row r="419" spans="1:26" x14ac:dyDescent="0.2">
      <c r="B419" s="60">
        <f>$J$9</f>
        <v>8</v>
      </c>
      <c r="C419" s="48" t="s">
        <v>335</v>
      </c>
      <c r="D419" s="49" t="str">
        <f>IF(C419&lt;&gt;"",VLOOKUP(C419,'Dummy Table'!$B$3:$C$30,2,FALSE),"")</f>
        <v>Austrália</v>
      </c>
      <c r="E419" s="49" t="str">
        <f>IF(C419&lt;&gt;"",VLOOKUP(C419,'Dummy Table'!$B$3:$D$30,3,FALSE),"")</f>
        <v>Racing Bulls</v>
      </c>
      <c r="F419" s="50">
        <v>4</v>
      </c>
      <c r="K419" s="71"/>
    </row>
    <row r="420" spans="1:26" s="79" customFormat="1" x14ac:dyDescent="0.2">
      <c r="A420" s="62"/>
      <c r="B420" s="60">
        <f>$J$10</f>
        <v>9</v>
      </c>
      <c r="C420" s="48" t="s">
        <v>344</v>
      </c>
      <c r="D420" s="49" t="str">
        <f>IF(C420&lt;&gt;"",VLOOKUP(C420,'Dummy Table'!$B$3:$C$30,2,FALSE),"")</f>
        <v>Brasil</v>
      </c>
      <c r="E420" s="49" t="str">
        <f>IF(C420&lt;&gt;"",VLOOKUP(C420,'Dummy Table'!$B$3:$D$30,3,FALSE),"")</f>
        <v>Kick Sauber</v>
      </c>
      <c r="F420" s="50">
        <v>2</v>
      </c>
      <c r="G420" s="66"/>
      <c r="H420" s="66"/>
      <c r="I420" s="66"/>
      <c r="J420" s="73"/>
      <c r="K420" s="71"/>
      <c r="L420" s="78"/>
      <c r="M420" s="69"/>
      <c r="N420" s="69"/>
      <c r="O420" s="69"/>
      <c r="P420" s="68"/>
      <c r="Q420" s="68"/>
      <c r="R420" s="68"/>
      <c r="S420" s="78"/>
      <c r="T420" s="78"/>
      <c r="U420" s="78"/>
      <c r="V420" s="78"/>
      <c r="W420" s="78"/>
      <c r="X420" s="78"/>
      <c r="Y420" s="78"/>
      <c r="Z420" s="78"/>
    </row>
    <row r="421" spans="1:26" x14ac:dyDescent="0.2">
      <c r="B421" s="60">
        <f>$J$11</f>
        <v>10</v>
      </c>
      <c r="C421" s="48" t="s">
        <v>312</v>
      </c>
      <c r="D421" s="49" t="str">
        <f>IF(C421&lt;&gt;"",VLOOKUP(C421,'Dummy Table'!$B$3:$C$30,2,FALSE),"")</f>
        <v>França</v>
      </c>
      <c r="E421" s="49" t="str">
        <f>IF(C421&lt;&gt;"",VLOOKUP(C421,'Dummy Table'!$B$3:$D$30,3,FALSE),"")</f>
        <v>Alpine</v>
      </c>
      <c r="F421" s="50">
        <v>1</v>
      </c>
      <c r="K421" s="71"/>
    </row>
    <row r="422" spans="1:26" x14ac:dyDescent="0.2">
      <c r="B422" s="60">
        <f>$J$12</f>
        <v>11</v>
      </c>
      <c r="C422" s="48" t="s">
        <v>338</v>
      </c>
      <c r="D422" s="49" t="str">
        <f>IF(C422&lt;&gt;"",VLOOKUP(C422,'Dummy Table'!$B$3:$C$30,2,FALSE),"")</f>
        <v>Inglaterra</v>
      </c>
      <c r="E422" s="49" t="str">
        <f>IF(C422&lt;&gt;"",VLOOKUP(C422,'Dummy Table'!$B$3:$D$30,3,FALSE),"")</f>
        <v>Haas</v>
      </c>
      <c r="F422" s="51"/>
      <c r="K422" s="71"/>
    </row>
    <row r="423" spans="1:26" x14ac:dyDescent="0.2">
      <c r="B423" s="60">
        <f>$J$13</f>
        <v>12</v>
      </c>
      <c r="C423" s="48" t="s">
        <v>257</v>
      </c>
      <c r="D423" s="49" t="str">
        <f>IF(C423&lt;&gt;"",VLOOKUP(C423,'Dummy Table'!$B$3:$C$30,2,FALSE),"")</f>
        <v>Alemanha</v>
      </c>
      <c r="E423" s="49" t="str">
        <f>IF(C423&lt;&gt;"",VLOOKUP(C423,'Dummy Table'!$B$3:$D$30,3,FALSE),"")</f>
        <v>Kick Sauber</v>
      </c>
      <c r="F423" s="51"/>
      <c r="K423" s="71"/>
    </row>
    <row r="424" spans="1:26" x14ac:dyDescent="0.2">
      <c r="B424" s="60">
        <f>$J$14</f>
        <v>13</v>
      </c>
      <c r="C424" s="48" t="s">
        <v>339</v>
      </c>
      <c r="D424" s="49" t="str">
        <f>IF(C424&lt;&gt;"",VLOOKUP(C424,'Dummy Table'!$B$3:$C$30,2,FALSE),"")</f>
        <v>Japão</v>
      </c>
      <c r="E424" s="49" t="str">
        <f>IF(C424&lt;&gt;"",VLOOKUP(C424,'Dummy Table'!$B$3:$D$30,3,FALSE),"")</f>
        <v>Red Bull</v>
      </c>
      <c r="F424" s="51"/>
      <c r="G424" s="72"/>
      <c r="H424" s="72"/>
      <c r="I424" s="72"/>
      <c r="K424" s="71"/>
    </row>
    <row r="425" spans="1:26" x14ac:dyDescent="0.2">
      <c r="B425" s="60">
        <f>$J$15</f>
        <v>14</v>
      </c>
      <c r="C425" s="48" t="s">
        <v>311</v>
      </c>
      <c r="D425" s="49" t="str">
        <f>IF(C425&lt;&gt;"",VLOOKUP(C425,'Dummy Table'!$B$3:$C$30,2,FALSE),"")</f>
        <v>Canadá</v>
      </c>
      <c r="E425" s="49" t="str">
        <f>IF(C425&lt;&gt;"",VLOOKUP(C425,'Dummy Table'!$B$3:$D$30,3,FALSE),"")</f>
        <v>Aston Martin</v>
      </c>
      <c r="F425" s="51"/>
      <c r="G425" s="72"/>
      <c r="H425" s="72"/>
      <c r="I425" s="72"/>
      <c r="K425" s="71"/>
      <c r="M425" s="83"/>
      <c r="N425" s="83"/>
      <c r="O425" s="83"/>
      <c r="P425" s="78"/>
      <c r="Q425" s="78"/>
      <c r="R425" s="78"/>
    </row>
    <row r="426" spans="1:26" x14ac:dyDescent="0.2">
      <c r="B426" s="60">
        <f>$J$16</f>
        <v>15</v>
      </c>
      <c r="C426" s="48" t="s">
        <v>319</v>
      </c>
      <c r="D426" s="49" t="str">
        <f>IF(C426&lt;&gt;"",VLOOKUP(C426,'Dummy Table'!$B$3:$C$30,2,FALSE),"")</f>
        <v>França</v>
      </c>
      <c r="E426" s="49" t="str">
        <f>IF(C426&lt;&gt;"",VLOOKUP(C426,'Dummy Table'!$B$3:$D$30,3,FALSE),"")</f>
        <v>Haas</v>
      </c>
      <c r="F426" s="51"/>
      <c r="G426" s="72"/>
      <c r="H426" s="72"/>
      <c r="I426" s="72"/>
      <c r="K426" s="71"/>
    </row>
    <row r="427" spans="1:26" x14ac:dyDescent="0.2">
      <c r="B427" s="60">
        <f>$J$17</f>
        <v>16</v>
      </c>
      <c r="C427" s="48" t="s">
        <v>336</v>
      </c>
      <c r="D427" s="49" t="str">
        <f>IF(C427&lt;&gt;"",VLOOKUP(C427,'Dummy Table'!$B$3:$C$30,2,FALSE),"")</f>
        <v>Itália</v>
      </c>
      <c r="E427" s="49" t="str">
        <f>IF(C427&lt;&gt;"",VLOOKUP(C427,'Dummy Table'!$B$3:$D$30,3,FALSE),"")</f>
        <v>Mercedes</v>
      </c>
      <c r="F427" s="51"/>
      <c r="G427" s="72"/>
      <c r="H427" s="72"/>
      <c r="I427" s="72"/>
      <c r="K427" s="71"/>
    </row>
    <row r="428" spans="1:26" x14ac:dyDescent="0.2">
      <c r="B428" s="60">
        <f>$J$18</f>
        <v>17</v>
      </c>
      <c r="C428" s="48" t="s">
        <v>30</v>
      </c>
      <c r="D428" s="49" t="str">
        <f>IF(C428&lt;&gt;"",VLOOKUP(C428,'Dummy Table'!$B$3:$C$30,2,FALSE),"")</f>
        <v>Espanha</v>
      </c>
      <c r="E428" s="49" t="str">
        <f>IF(C428&lt;&gt;"",VLOOKUP(C428,'Dummy Table'!$B$3:$D$30,3,FALSE),"")</f>
        <v>Aston Martin</v>
      </c>
      <c r="F428" s="51"/>
      <c r="G428" s="72"/>
      <c r="H428" s="72"/>
      <c r="I428" s="72"/>
    </row>
    <row r="429" spans="1:26" x14ac:dyDescent="0.2">
      <c r="B429" s="60">
        <f>$J$19</f>
        <v>18</v>
      </c>
      <c r="C429" s="48" t="s">
        <v>343</v>
      </c>
      <c r="D429" s="49" t="str">
        <f>IF(C429&lt;&gt;"",VLOOKUP(C429,'Dummy Table'!$B$3:$C$30,2,FALSE),"")</f>
        <v>Espanha</v>
      </c>
      <c r="E429" s="49" t="str">
        <f>IF(C429&lt;&gt;"",VLOOKUP(C429,'Dummy Table'!$B$3:$D$30,3,FALSE),"")</f>
        <v>Williams</v>
      </c>
      <c r="F429" s="51"/>
      <c r="G429" s="72"/>
      <c r="H429" s="72"/>
      <c r="I429" s="72"/>
      <c r="K429" s="78"/>
    </row>
    <row r="430" spans="1:26" x14ac:dyDescent="0.2">
      <c r="B430" s="60">
        <f>$J$20</f>
        <v>19</v>
      </c>
      <c r="C430" s="48" t="s">
        <v>400</v>
      </c>
      <c r="D430" s="49" t="str">
        <f>IF(C430&lt;&gt;"",VLOOKUP(C430,'Dummy Table'!$B$3:$C$30,2,FALSE),"")</f>
        <v>Argentina</v>
      </c>
      <c r="E430" s="49" t="str">
        <f>IF(C430&lt;&gt;"",VLOOKUP(C430,'Dummy Table'!$B$3:$D$30,3,FALSE),"")</f>
        <v>Alpine</v>
      </c>
      <c r="F430" s="51"/>
      <c r="G430" s="72"/>
      <c r="H430" s="72"/>
      <c r="I430" s="72"/>
    </row>
    <row r="431" spans="1:26" x14ac:dyDescent="0.2">
      <c r="B431" s="60">
        <f>$J$21</f>
        <v>20</v>
      </c>
      <c r="C431" s="48" t="s">
        <v>341</v>
      </c>
      <c r="D431" s="49" t="str">
        <f>IF(C431&lt;&gt;"",VLOOKUP(C431,'Dummy Table'!$B$3:$C$30,2,FALSE),"")</f>
        <v>França</v>
      </c>
      <c r="E431" s="49" t="str">
        <f>IF(C431&lt;&gt;"",VLOOKUP(C431,'Dummy Table'!$B$3:$D$30,3,FALSE),"")</f>
        <v>Racing Bulls</v>
      </c>
      <c r="F431" s="51"/>
      <c r="G431" s="72"/>
      <c r="H431" s="72"/>
      <c r="I431" s="72"/>
      <c r="K431" s="71"/>
    </row>
    <row r="432" spans="1:26" ht="12.75" hidden="1" customHeight="1" x14ac:dyDescent="0.2">
      <c r="B432" s="76">
        <f>$J$22</f>
        <v>21</v>
      </c>
      <c r="C432" s="75"/>
      <c r="D432" s="65" t="str">
        <f>IF(C432&lt;&gt;"",VLOOKUP(C432,'Dummy Table'!$B$3:$C$30,2,FALSE),"")</f>
        <v/>
      </c>
      <c r="E432" s="65" t="str">
        <f>IF(C432&lt;&gt;"",VLOOKUP(C432,'Dummy Table'!$B$3:$D$30,3,FALSE),"")</f>
        <v/>
      </c>
      <c r="F432" s="77"/>
      <c r="G432" s="72"/>
      <c r="H432" s="72"/>
      <c r="I432" s="72"/>
      <c r="K432" s="71"/>
    </row>
    <row r="433" spans="1:26" ht="12.75" hidden="1" customHeight="1" x14ac:dyDescent="0.2">
      <c r="B433" s="76" t="str">
        <f>$J$23</f>
        <v/>
      </c>
      <c r="C433" s="75"/>
      <c r="D433" s="65" t="str">
        <f>IF(C433&lt;&gt;"",VLOOKUP(C433,'Dummy Table'!$B$3:$C$30,2,FALSE),"")</f>
        <v/>
      </c>
      <c r="E433" s="65" t="str">
        <f>IF(C433&lt;&gt;"",VLOOKUP(C433,'Dummy Table'!$B$3:$D$30,3,FALSE),"")</f>
        <v/>
      </c>
      <c r="F433" s="80"/>
      <c r="G433" s="72"/>
      <c r="H433" s="72"/>
      <c r="I433" s="72"/>
      <c r="K433" s="71"/>
    </row>
    <row r="434" spans="1:26" s="79" customFormat="1" ht="12.75" hidden="1" customHeight="1" x14ac:dyDescent="0.2">
      <c r="A434" s="62"/>
      <c r="B434" s="76" t="str">
        <f>IF(F434="",$J$24,"Ret")</f>
        <v/>
      </c>
      <c r="C434" s="75"/>
      <c r="D434" s="65" t="str">
        <f>IF(C434&lt;&gt;"",VLOOKUP(C434,'Dummy Table'!$B$3:$C$30,2,FALSE),"")</f>
        <v/>
      </c>
      <c r="E434" s="65" t="str">
        <f>IF(C434&lt;&gt;"",VLOOKUP(C434,'Dummy Table'!$B$3:$D$30,3,FALSE),"")</f>
        <v/>
      </c>
      <c r="F434" s="81"/>
      <c r="G434" s="72"/>
      <c r="H434" s="72"/>
      <c r="I434" s="72"/>
      <c r="J434" s="73"/>
      <c r="K434" s="71"/>
      <c r="L434" s="78"/>
      <c r="M434" s="69"/>
      <c r="N434" s="69"/>
      <c r="O434" s="69"/>
      <c r="P434" s="68"/>
      <c r="Q434" s="68"/>
      <c r="R434" s="68"/>
      <c r="S434" s="78"/>
      <c r="T434" s="78"/>
      <c r="U434" s="78"/>
      <c r="V434" s="78"/>
      <c r="W434" s="78"/>
      <c r="X434" s="78"/>
      <c r="Y434" s="78"/>
      <c r="Z434" s="78"/>
    </row>
    <row r="435" spans="1:26" ht="12.75" hidden="1" customHeight="1" x14ac:dyDescent="0.2">
      <c r="B435" s="76" t="str">
        <f>IF(F435="",$J$25,"Ret")</f>
        <v/>
      </c>
      <c r="C435" s="75"/>
      <c r="D435" s="65" t="str">
        <f>IF(C435&lt;&gt;"",VLOOKUP(C435,'Dummy Table'!$B$3:$C$30,2,FALSE),"")</f>
        <v/>
      </c>
      <c r="E435" s="65" t="str">
        <f>IF(C435&lt;&gt;"",VLOOKUP(C435,'Dummy Table'!$B$3:$D$30,3,FALSE),"")</f>
        <v/>
      </c>
      <c r="F435" s="81"/>
      <c r="G435" s="72"/>
      <c r="H435" s="72"/>
      <c r="I435" s="72"/>
      <c r="K435" s="71"/>
    </row>
    <row r="436" spans="1:26" x14ac:dyDescent="0.2">
      <c r="B436" s="52" t="s">
        <v>248</v>
      </c>
      <c r="C436" s="53" t="s">
        <v>316</v>
      </c>
      <c r="D436" s="54" t="str">
        <f>IF(C436&lt;&gt;"",VLOOKUP(C436,'Dummy Table'!$B$3:$C$30,2,FALSE),"")</f>
        <v>Inglaterra</v>
      </c>
      <c r="E436" s="54" t="str">
        <f>IF(C436&lt;&gt;"",VLOOKUP(C436,'Dummy Table'!$B$3:$D$30,3,FALSE),"")</f>
        <v>McLaren 🏆</v>
      </c>
      <c r="F436" s="55"/>
      <c r="H436" s="72"/>
      <c r="K436" s="71"/>
      <c r="M436" s="84"/>
      <c r="N436" s="84"/>
      <c r="O436" s="84"/>
      <c r="P436" s="66"/>
      <c r="Q436" s="66"/>
      <c r="R436" s="66"/>
    </row>
    <row r="437" spans="1:26" x14ac:dyDescent="0.2">
      <c r="B437" s="56" t="s">
        <v>238</v>
      </c>
      <c r="C437" s="57" t="s">
        <v>334</v>
      </c>
      <c r="D437" s="54" t="str">
        <f>IF(C437&lt;&gt;"",VLOOKUP(C437,'Dummy Table'!$B$3:$C$30,2,FALSE),"")</f>
        <v>Austrália</v>
      </c>
      <c r="E437" s="54" t="str">
        <f>IF(C437&lt;&gt;"",VLOOKUP(C437,'Dummy Table'!$B$3:$D$30,3,FALSE),"")</f>
        <v>McLaren 🏆</v>
      </c>
      <c r="F437" s="58"/>
      <c r="H437" s="66">
        <f>IF(C437="",F437,0)</f>
        <v>0</v>
      </c>
      <c r="K437" s="71"/>
      <c r="M437" s="84"/>
      <c r="N437" s="84"/>
      <c r="O437" s="84"/>
      <c r="P437" s="66"/>
      <c r="Q437" s="66"/>
      <c r="R437" s="66"/>
    </row>
    <row r="438" spans="1:26" x14ac:dyDescent="0.2">
      <c r="A438" s="62">
        <v>14</v>
      </c>
      <c r="B438" s="88">
        <f>VLOOKUP($A438,'Calendário atual'!$A$2:$E$30,2,FALSE)</f>
        <v>45872</v>
      </c>
      <c r="C438" s="162" t="str">
        <f>VLOOKUP($A438,'Calendário atual'!$A$2:$E$30,4,FALSE)</f>
        <v>FORMULA 1 LENOVO HUNGARIAN GRAND PRIX 2025</v>
      </c>
      <c r="D438" s="162"/>
      <c r="E438" s="162"/>
      <c r="F438" s="88" t="str">
        <f>VLOOKUP($A438,'Calendário atual'!$A$2:$E$30,3,FALSE)</f>
        <v>Hungria</v>
      </c>
      <c r="G438" s="72"/>
      <c r="H438" s="72"/>
      <c r="I438" s="72"/>
      <c r="K438" s="71"/>
      <c r="M438" s="84"/>
      <c r="N438" s="84"/>
      <c r="O438" s="84"/>
      <c r="P438" s="66"/>
      <c r="Q438" s="66"/>
      <c r="R438" s="66"/>
    </row>
    <row r="439" spans="1:26" x14ac:dyDescent="0.2">
      <c r="B439" s="61" t="s">
        <v>14</v>
      </c>
      <c r="C439" s="61" t="s">
        <v>29</v>
      </c>
      <c r="D439" s="61" t="s">
        <v>16</v>
      </c>
      <c r="E439" s="61" t="s">
        <v>17</v>
      </c>
      <c r="F439" s="61" t="s">
        <v>18</v>
      </c>
      <c r="K439" s="71"/>
      <c r="M439" s="84"/>
      <c r="N439" s="84"/>
      <c r="O439" s="84"/>
      <c r="P439" s="66"/>
      <c r="Q439" s="66"/>
      <c r="R439" s="66"/>
    </row>
    <row r="440" spans="1:26" x14ac:dyDescent="0.2">
      <c r="B440" s="59">
        <f>$J$2</f>
        <v>1</v>
      </c>
      <c r="C440" s="48" t="s">
        <v>316</v>
      </c>
      <c r="D440" s="49" t="str">
        <f>IF(C440&lt;&gt;"",VLOOKUP(C440,'Dummy Table'!$B$3:$C$30,2,FALSE),"")</f>
        <v>Inglaterra</v>
      </c>
      <c r="E440" s="49" t="str">
        <f>IF(C440&lt;&gt;"",VLOOKUP(C440,'Dummy Table'!$B$3:$D$30,3,FALSE),"")</f>
        <v>McLaren 🏆</v>
      </c>
      <c r="F440" s="50">
        <v>25</v>
      </c>
      <c r="G440" s="66">
        <f>IF(C440="",F440,0)</f>
        <v>0</v>
      </c>
      <c r="H440" s="66">
        <f>IF(C440="",F440,0)</f>
        <v>0</v>
      </c>
      <c r="I440" s="66">
        <f>IF(C440="",1,0)</f>
        <v>0</v>
      </c>
      <c r="K440" s="71"/>
    </row>
    <row r="441" spans="1:26" x14ac:dyDescent="0.2">
      <c r="B441" s="60">
        <f>$J$3</f>
        <v>2</v>
      </c>
      <c r="C441" s="48" t="s">
        <v>334</v>
      </c>
      <c r="D441" s="49" t="str">
        <f>IF(C441&lt;&gt;"",VLOOKUP(C441,'Dummy Table'!$B$3:$C$30,2,FALSE),"")</f>
        <v>Austrália</v>
      </c>
      <c r="E441" s="49" t="str">
        <f>IF(C441&lt;&gt;"",VLOOKUP(C441,'Dummy Table'!$B$3:$D$30,3,FALSE),"")</f>
        <v>McLaren 🏆</v>
      </c>
      <c r="F441" s="50">
        <v>18</v>
      </c>
      <c r="H441" s="66">
        <f>IF(C441="",F441,0)</f>
        <v>0</v>
      </c>
      <c r="K441" s="71"/>
    </row>
    <row r="442" spans="1:26" x14ac:dyDescent="0.2">
      <c r="B442" s="60">
        <f>$J$4</f>
        <v>3</v>
      </c>
      <c r="C442" s="48" t="s">
        <v>394</v>
      </c>
      <c r="D442" s="49" t="str">
        <f>IF(C442&lt;&gt;"",VLOOKUP(C442,'Dummy Table'!$B$3:$C$30,2,FALSE),"")</f>
        <v>Inglaterra</v>
      </c>
      <c r="E442" s="49" t="str">
        <f>IF(C442&lt;&gt;"",VLOOKUP(C442,'Dummy Table'!$B$3:$D$30,3,FALSE),"")</f>
        <v>Mercedes</v>
      </c>
      <c r="F442" s="50">
        <v>15</v>
      </c>
    </row>
    <row r="443" spans="1:26" x14ac:dyDescent="0.2">
      <c r="B443" s="60">
        <f>$J$5</f>
        <v>4</v>
      </c>
      <c r="C443" s="48" t="s">
        <v>313</v>
      </c>
      <c r="D443" s="49" t="str">
        <f>IF(C443&lt;&gt;"",VLOOKUP(C443,'Dummy Table'!$B$3:$C$30,2,FALSE),"")</f>
        <v>Mônaco</v>
      </c>
      <c r="E443" s="49" t="str">
        <f>IF(C443&lt;&gt;"",VLOOKUP(C443,'Dummy Table'!$B$3:$D$30,3,FALSE),"")</f>
        <v>Ferrari</v>
      </c>
      <c r="F443" s="50">
        <v>12</v>
      </c>
      <c r="K443" s="78"/>
    </row>
    <row r="444" spans="1:26" x14ac:dyDescent="0.2">
      <c r="B444" s="60">
        <f>$J$6</f>
        <v>5</v>
      </c>
      <c r="C444" s="48" t="s">
        <v>30</v>
      </c>
      <c r="D444" s="49" t="str">
        <f>IF(C444&lt;&gt;"",VLOOKUP(C444,'Dummy Table'!$B$3:$C$30,2,FALSE),"")</f>
        <v>Espanha</v>
      </c>
      <c r="E444" s="49" t="str">
        <f>IF(C444&lt;&gt;"",VLOOKUP(C444,'Dummy Table'!$B$3:$D$30,3,FALSE),"")</f>
        <v>Aston Martin</v>
      </c>
      <c r="F444" s="50">
        <v>10</v>
      </c>
    </row>
    <row r="445" spans="1:26" x14ac:dyDescent="0.2">
      <c r="B445" s="60">
        <f>$J$7</f>
        <v>6</v>
      </c>
      <c r="C445" s="48" t="s">
        <v>344</v>
      </c>
      <c r="D445" s="49" t="str">
        <f>IF(C445&lt;&gt;"",VLOOKUP(C445,'Dummy Table'!$B$3:$C$30,2,FALSE),"")</f>
        <v>Brasil</v>
      </c>
      <c r="E445" s="49" t="str">
        <f>IF(C445&lt;&gt;"",VLOOKUP(C445,'Dummy Table'!$B$3:$D$30,3,FALSE),"")</f>
        <v>Kick Sauber</v>
      </c>
      <c r="F445" s="50">
        <v>8</v>
      </c>
      <c r="K445" s="71"/>
    </row>
    <row r="446" spans="1:26" x14ac:dyDescent="0.2">
      <c r="B446" s="60">
        <f>$J$8</f>
        <v>7</v>
      </c>
      <c r="C446" s="48" t="s">
        <v>311</v>
      </c>
      <c r="D446" s="49" t="str">
        <f>IF(C446&lt;&gt;"",VLOOKUP(C446,'Dummy Table'!$B$3:$C$30,2,FALSE),"")</f>
        <v>Canadá</v>
      </c>
      <c r="E446" s="49" t="str">
        <f>IF(C446&lt;&gt;"",VLOOKUP(C446,'Dummy Table'!$B$3:$D$30,3,FALSE),"")</f>
        <v>Aston Martin</v>
      </c>
      <c r="F446" s="50">
        <v>6</v>
      </c>
      <c r="K446" s="71"/>
    </row>
    <row r="447" spans="1:26" x14ac:dyDescent="0.2">
      <c r="B447" s="60">
        <f>$J$9</f>
        <v>8</v>
      </c>
      <c r="C447" s="48" t="s">
        <v>335</v>
      </c>
      <c r="D447" s="49" t="str">
        <f>IF(C447&lt;&gt;"",VLOOKUP(C447,'Dummy Table'!$B$3:$C$30,2,FALSE),"")</f>
        <v>Austrália</v>
      </c>
      <c r="E447" s="49" t="str">
        <f>IF(C447&lt;&gt;"",VLOOKUP(C447,'Dummy Table'!$B$3:$D$30,3,FALSE),"")</f>
        <v>Racing Bulls</v>
      </c>
      <c r="F447" s="50">
        <v>4</v>
      </c>
      <c r="K447" s="71"/>
    </row>
    <row r="448" spans="1:26" s="79" customFormat="1" x14ac:dyDescent="0.2">
      <c r="A448" s="62"/>
      <c r="B448" s="60">
        <f>$J$10</f>
        <v>9</v>
      </c>
      <c r="C448" s="48" t="s">
        <v>305</v>
      </c>
      <c r="D448" s="49" t="str">
        <f>IF(C448&lt;&gt;"",VLOOKUP(C448,'Dummy Table'!$B$3:$C$30,2,FALSE),"")</f>
        <v>Holanda</v>
      </c>
      <c r="E448" s="49" t="str">
        <f>IF(C448&lt;&gt;"",VLOOKUP(C448,'Dummy Table'!$B$3:$D$30,3,FALSE),"")</f>
        <v>Red Bull</v>
      </c>
      <c r="F448" s="50">
        <v>2</v>
      </c>
      <c r="G448" s="66"/>
      <c r="H448" s="66"/>
      <c r="I448" s="66"/>
      <c r="J448" s="73"/>
      <c r="K448" s="71"/>
      <c r="L448" s="78"/>
      <c r="M448" s="69"/>
      <c r="N448" s="69"/>
      <c r="O448" s="69"/>
      <c r="P448" s="68"/>
      <c r="Q448" s="68"/>
      <c r="R448" s="68"/>
      <c r="S448" s="78"/>
      <c r="T448" s="78"/>
      <c r="U448" s="78"/>
      <c r="V448" s="78"/>
      <c r="W448" s="78"/>
      <c r="X448" s="78"/>
      <c r="Y448" s="78"/>
      <c r="Z448" s="78"/>
    </row>
    <row r="449" spans="1:26" x14ac:dyDescent="0.2">
      <c r="B449" s="60">
        <f>$J$11</f>
        <v>10</v>
      </c>
      <c r="C449" s="48" t="s">
        <v>336</v>
      </c>
      <c r="D449" s="49" t="str">
        <f>IF(C449&lt;&gt;"",VLOOKUP(C449,'Dummy Table'!$B$3:$C$30,2,FALSE),"")</f>
        <v>Itália</v>
      </c>
      <c r="E449" s="49" t="str">
        <f>IF(C449&lt;&gt;"",VLOOKUP(C449,'Dummy Table'!$B$3:$D$30,3,FALSE),"")</f>
        <v>Mercedes</v>
      </c>
      <c r="F449" s="50">
        <v>1</v>
      </c>
      <c r="K449" s="71"/>
    </row>
    <row r="450" spans="1:26" x14ac:dyDescent="0.2">
      <c r="B450" s="60">
        <f>$J$12</f>
        <v>11</v>
      </c>
      <c r="C450" s="48" t="s">
        <v>341</v>
      </c>
      <c r="D450" s="49" t="str">
        <f>IF(C450&lt;&gt;"",VLOOKUP(C450,'Dummy Table'!$B$3:$C$30,2,FALSE),"")</f>
        <v>França</v>
      </c>
      <c r="E450" s="49" t="str">
        <f>IF(C450&lt;&gt;"",VLOOKUP(C450,'Dummy Table'!$B$3:$D$30,3,FALSE),"")</f>
        <v>Racing Bulls</v>
      </c>
      <c r="F450" s="51"/>
      <c r="K450" s="71"/>
    </row>
    <row r="451" spans="1:26" x14ac:dyDescent="0.2">
      <c r="B451" s="60">
        <f>$J$13</f>
        <v>12</v>
      </c>
      <c r="C451" s="48" t="s">
        <v>1</v>
      </c>
      <c r="D451" s="49" t="str">
        <f>IF(C451&lt;&gt;"",VLOOKUP(C451,'Dummy Table'!$B$3:$C$30,2,FALSE),"")</f>
        <v>Inglaterra</v>
      </c>
      <c r="E451" s="49" t="str">
        <f>IF(C451&lt;&gt;"",VLOOKUP(C451,'Dummy Table'!$B$3:$D$30,3,FALSE),"")</f>
        <v>Ferrari</v>
      </c>
      <c r="F451" s="51"/>
      <c r="K451" s="71"/>
    </row>
    <row r="452" spans="1:26" x14ac:dyDescent="0.2">
      <c r="B452" s="60">
        <f>$J$14</f>
        <v>13</v>
      </c>
      <c r="C452" s="48" t="s">
        <v>257</v>
      </c>
      <c r="D452" s="49" t="str">
        <f>IF(C452&lt;&gt;"",VLOOKUP(C452,'Dummy Table'!$B$3:$C$30,2,FALSE),"")</f>
        <v>Alemanha</v>
      </c>
      <c r="E452" s="49" t="str">
        <f>IF(C452&lt;&gt;"",VLOOKUP(C452,'Dummy Table'!$B$3:$D$30,3,FALSE),"")</f>
        <v>Kick Sauber</v>
      </c>
      <c r="F452" s="51"/>
      <c r="G452" s="72"/>
      <c r="H452" s="72"/>
      <c r="I452" s="72"/>
      <c r="K452" s="71"/>
    </row>
    <row r="453" spans="1:26" x14ac:dyDescent="0.2">
      <c r="B453" s="60">
        <f>$J$15</f>
        <v>14</v>
      </c>
      <c r="C453" s="48" t="s">
        <v>343</v>
      </c>
      <c r="D453" s="49" t="str">
        <f>IF(C453&lt;&gt;"",VLOOKUP(C453,'Dummy Table'!$B$3:$C$30,2,FALSE),"")</f>
        <v>Espanha</v>
      </c>
      <c r="E453" s="49" t="str">
        <f>IF(C453&lt;&gt;"",VLOOKUP(C453,'Dummy Table'!$B$3:$D$30,3,FALSE),"")</f>
        <v>Williams</v>
      </c>
      <c r="F453" s="51"/>
      <c r="G453" s="72"/>
      <c r="H453" s="72"/>
      <c r="I453" s="72"/>
      <c r="K453" s="71"/>
      <c r="M453" s="83"/>
      <c r="N453" s="83"/>
      <c r="O453" s="83"/>
      <c r="P453" s="78"/>
      <c r="Q453" s="78"/>
      <c r="R453" s="78"/>
    </row>
    <row r="454" spans="1:26" x14ac:dyDescent="0.2">
      <c r="B454" s="60">
        <f>$J$16</f>
        <v>15</v>
      </c>
      <c r="C454" s="48" t="s">
        <v>315</v>
      </c>
      <c r="D454" s="49" t="str">
        <f>IF(C454&lt;&gt;"",VLOOKUP(C454,'Dummy Table'!$B$3:$C$30,2,FALSE),"")</f>
        <v>Tailandia</v>
      </c>
      <c r="E454" s="49" t="str">
        <f>IF(C454&lt;&gt;"",VLOOKUP(C454,'Dummy Table'!$B$3:$D$30,3,FALSE),"")</f>
        <v>Williams</v>
      </c>
      <c r="F454" s="51"/>
      <c r="G454" s="72"/>
      <c r="H454" s="72"/>
      <c r="I454" s="72"/>
      <c r="K454" s="71"/>
    </row>
    <row r="455" spans="1:26" x14ac:dyDescent="0.2">
      <c r="B455" s="60">
        <f>$J$17</f>
        <v>16</v>
      </c>
      <c r="C455" s="48" t="s">
        <v>319</v>
      </c>
      <c r="D455" s="49" t="str">
        <f>IF(C455&lt;&gt;"",VLOOKUP(C455,'Dummy Table'!$B$3:$C$30,2,FALSE),"")</f>
        <v>França</v>
      </c>
      <c r="E455" s="49" t="str">
        <f>IF(C455&lt;&gt;"",VLOOKUP(C455,'Dummy Table'!$B$3:$D$30,3,FALSE),"")</f>
        <v>Haas</v>
      </c>
      <c r="F455" s="51"/>
      <c r="G455" s="72"/>
      <c r="H455" s="72"/>
      <c r="I455" s="72"/>
      <c r="K455" s="71"/>
    </row>
    <row r="456" spans="1:26" x14ac:dyDescent="0.2">
      <c r="B456" s="60">
        <f>$J$18</f>
        <v>17</v>
      </c>
      <c r="C456" s="48" t="s">
        <v>339</v>
      </c>
      <c r="D456" s="49" t="str">
        <f>IF(C456&lt;&gt;"",VLOOKUP(C456,'Dummy Table'!$B$3:$C$30,2,FALSE),"")</f>
        <v>Japão</v>
      </c>
      <c r="E456" s="49" t="str">
        <f>IF(C456&lt;&gt;"",VLOOKUP(C456,'Dummy Table'!$B$3:$D$30,3,FALSE),"")</f>
        <v>Red Bull</v>
      </c>
      <c r="F456" s="51"/>
      <c r="G456" s="72"/>
      <c r="H456" s="72"/>
      <c r="I456" s="72"/>
    </row>
    <row r="457" spans="1:26" x14ac:dyDescent="0.2">
      <c r="B457" s="60">
        <f>$J$19</f>
        <v>18</v>
      </c>
      <c r="C457" s="48" t="s">
        <v>400</v>
      </c>
      <c r="D457" s="49" t="str">
        <f>IF(C457&lt;&gt;"",VLOOKUP(C457,'Dummy Table'!$B$3:$C$30,2,FALSE),"")</f>
        <v>Argentina</v>
      </c>
      <c r="E457" s="49" t="str">
        <f>IF(C457&lt;&gt;"",VLOOKUP(C457,'Dummy Table'!$B$3:$D$30,3,FALSE),"")</f>
        <v>Alpine</v>
      </c>
      <c r="F457" s="51"/>
      <c r="G457" s="72"/>
      <c r="H457" s="72"/>
      <c r="I457" s="72"/>
      <c r="K457" s="78"/>
    </row>
    <row r="458" spans="1:26" x14ac:dyDescent="0.2">
      <c r="B458" s="60">
        <f>$J$20</f>
        <v>19</v>
      </c>
      <c r="C458" s="48" t="s">
        <v>312</v>
      </c>
      <c r="D458" s="49" t="str">
        <f>IF(C458&lt;&gt;"",VLOOKUP(C458,'Dummy Table'!$B$3:$C$30,2,FALSE),"")</f>
        <v>França</v>
      </c>
      <c r="E458" s="49" t="str">
        <f>IF(C458&lt;&gt;"",VLOOKUP(C458,'Dummy Table'!$B$3:$D$30,3,FALSE),"")</f>
        <v>Alpine</v>
      </c>
      <c r="F458" s="51"/>
      <c r="G458" s="72"/>
      <c r="H458" s="72"/>
      <c r="I458" s="72"/>
    </row>
    <row r="459" spans="1:26" x14ac:dyDescent="0.2">
      <c r="B459" s="60">
        <f>$J$21</f>
        <v>20</v>
      </c>
      <c r="C459" s="48" t="s">
        <v>338</v>
      </c>
      <c r="D459" s="49" t="str">
        <f>IF(C459&lt;&gt;"",VLOOKUP(C459,'Dummy Table'!$B$3:$C$30,2,FALSE),"")</f>
        <v>Inglaterra</v>
      </c>
      <c r="E459" s="49" t="str">
        <f>IF(C459&lt;&gt;"",VLOOKUP(C459,'Dummy Table'!$B$3:$D$30,3,FALSE),"")</f>
        <v>Haas</v>
      </c>
      <c r="F459" s="51" t="s">
        <v>320</v>
      </c>
      <c r="G459" s="72"/>
      <c r="H459" s="72"/>
      <c r="I459" s="72"/>
      <c r="K459" s="71"/>
    </row>
    <row r="460" spans="1:26" ht="12.75" hidden="1" customHeight="1" x14ac:dyDescent="0.2">
      <c r="B460" s="76">
        <f>$J$22</f>
        <v>21</v>
      </c>
      <c r="C460" s="75"/>
      <c r="D460" s="65" t="str">
        <f>IF(C460&lt;&gt;"",VLOOKUP(C460,'Dummy Table'!$B$3:$C$30,2,FALSE),"")</f>
        <v/>
      </c>
      <c r="E460" s="65" t="str">
        <f>IF(C460&lt;&gt;"",VLOOKUP(C460,'Dummy Table'!$B$3:$D$30,3,FALSE),"")</f>
        <v/>
      </c>
      <c r="F460" s="77"/>
      <c r="G460" s="72"/>
      <c r="H460" s="72"/>
      <c r="I460" s="72"/>
      <c r="K460" s="71"/>
    </row>
    <row r="461" spans="1:26" ht="12.75" hidden="1" customHeight="1" x14ac:dyDescent="0.2">
      <c r="B461" s="76" t="str">
        <f>$J$23</f>
        <v/>
      </c>
      <c r="C461" s="75"/>
      <c r="D461" s="65" t="str">
        <f>IF(C461&lt;&gt;"",VLOOKUP(C461,'Dummy Table'!$B$3:$C$30,2,FALSE),"")</f>
        <v/>
      </c>
      <c r="E461" s="65" t="str">
        <f>IF(C461&lt;&gt;"",VLOOKUP(C461,'Dummy Table'!$B$3:$D$30,3,FALSE),"")</f>
        <v/>
      </c>
      <c r="F461" s="80"/>
      <c r="G461" s="72"/>
      <c r="H461" s="72"/>
      <c r="I461" s="72"/>
      <c r="K461" s="71"/>
    </row>
    <row r="462" spans="1:26" s="79" customFormat="1" ht="12.75" hidden="1" customHeight="1" x14ac:dyDescent="0.2">
      <c r="A462" s="62"/>
      <c r="B462" s="76" t="str">
        <f>IF(F462="",$J$24,"Ret")</f>
        <v/>
      </c>
      <c r="C462" s="75"/>
      <c r="D462" s="65" t="str">
        <f>IF(C462&lt;&gt;"",VLOOKUP(C462,'Dummy Table'!$B$3:$C$30,2,FALSE),"")</f>
        <v/>
      </c>
      <c r="E462" s="65" t="str">
        <f>IF(C462&lt;&gt;"",VLOOKUP(C462,'Dummy Table'!$B$3:$D$30,3,FALSE),"")</f>
        <v/>
      </c>
      <c r="F462" s="81"/>
      <c r="G462" s="72"/>
      <c r="H462" s="72"/>
      <c r="I462" s="72"/>
      <c r="J462" s="73"/>
      <c r="K462" s="71"/>
      <c r="L462" s="78"/>
      <c r="M462" s="69"/>
      <c r="N462" s="69"/>
      <c r="O462" s="69"/>
      <c r="P462" s="68"/>
      <c r="Q462" s="68"/>
      <c r="R462" s="68"/>
      <c r="S462" s="78"/>
      <c r="T462" s="78"/>
      <c r="U462" s="78"/>
      <c r="V462" s="78"/>
      <c r="W462" s="78"/>
      <c r="X462" s="78"/>
      <c r="Y462" s="78"/>
      <c r="Z462" s="78"/>
    </row>
    <row r="463" spans="1:26" ht="12.75" hidden="1" customHeight="1" x14ac:dyDescent="0.2">
      <c r="B463" s="76" t="str">
        <f>IF(F463="",$J$25,"Ret")</f>
        <v/>
      </c>
      <c r="C463" s="75"/>
      <c r="D463" s="65" t="str">
        <f>IF(C463&lt;&gt;"",VLOOKUP(C463,'Dummy Table'!$B$3:$C$30,2,FALSE),"")</f>
        <v/>
      </c>
      <c r="E463" s="65" t="str">
        <f>IF(C463&lt;&gt;"",VLOOKUP(C463,'Dummy Table'!$B$3:$D$30,3,FALSE),"")</f>
        <v/>
      </c>
      <c r="F463" s="81"/>
      <c r="G463" s="72"/>
      <c r="H463" s="72"/>
      <c r="I463" s="72"/>
      <c r="K463" s="71"/>
    </row>
    <row r="464" spans="1:26" x14ac:dyDescent="0.2">
      <c r="B464" s="52" t="s">
        <v>248</v>
      </c>
      <c r="C464" s="53" t="s">
        <v>313</v>
      </c>
      <c r="D464" s="54" t="str">
        <f>IF(C464&lt;&gt;"",VLOOKUP(C464,'Dummy Table'!$B$3:$C$30,2,FALSE),"")</f>
        <v>Mônaco</v>
      </c>
      <c r="E464" s="54" t="str">
        <f>IF(C464&lt;&gt;"",VLOOKUP(C464,'Dummy Table'!$B$3:$D$30,3,FALSE),"")</f>
        <v>Ferrari</v>
      </c>
      <c r="F464" s="55"/>
      <c r="H464" s="72"/>
      <c r="K464" s="71"/>
      <c r="M464" s="84"/>
      <c r="N464" s="84"/>
      <c r="O464" s="84"/>
      <c r="P464" s="66"/>
      <c r="Q464" s="66"/>
      <c r="R464" s="66"/>
    </row>
    <row r="465" spans="1:26" x14ac:dyDescent="0.2">
      <c r="B465" s="56" t="s">
        <v>238</v>
      </c>
      <c r="C465" s="57" t="s">
        <v>394</v>
      </c>
      <c r="D465" s="54" t="str">
        <f>IF(C465&lt;&gt;"",VLOOKUP(C465,'Dummy Table'!$B$3:$C$30,2,FALSE),"")</f>
        <v>Inglaterra</v>
      </c>
      <c r="E465" s="54" t="str">
        <f>IF(C465&lt;&gt;"",VLOOKUP(C465,'Dummy Table'!$B$3:$D$30,3,FALSE),"")</f>
        <v>Mercedes</v>
      </c>
      <c r="F465" s="58"/>
      <c r="H465" s="66">
        <f>IF(C465="",F465,0)</f>
        <v>0</v>
      </c>
      <c r="K465" s="71"/>
      <c r="M465" s="84"/>
      <c r="N465" s="84"/>
      <c r="O465" s="84"/>
      <c r="P465" s="66"/>
      <c r="Q465" s="66"/>
      <c r="R465" s="66"/>
    </row>
    <row r="466" spans="1:26" x14ac:dyDescent="0.2">
      <c r="A466" s="62">
        <v>15</v>
      </c>
      <c r="B466" s="88">
        <f>VLOOKUP($A466,'Calendário atual'!$A$2:$E$30,2,FALSE)</f>
        <v>45900</v>
      </c>
      <c r="C466" s="162" t="str">
        <f>VLOOKUP($A466,'Calendário atual'!$A$2:$E$30,4,FALSE)</f>
        <v>FORMULA 1 HEINEKEN DUTCH GRAND PRIX 2025</v>
      </c>
      <c r="D466" s="162"/>
      <c r="E466" s="162"/>
      <c r="F466" s="88" t="str">
        <f>VLOOKUP($A466,'Calendário atual'!$A$2:$E$30,3,FALSE)</f>
        <v>Holanda</v>
      </c>
      <c r="G466" s="72"/>
      <c r="H466" s="72"/>
      <c r="I466" s="72"/>
      <c r="K466" s="71"/>
      <c r="M466" s="84"/>
      <c r="N466" s="84"/>
      <c r="O466" s="84"/>
      <c r="P466" s="66"/>
      <c r="Q466" s="66"/>
      <c r="R466" s="66"/>
    </row>
    <row r="467" spans="1:26" x14ac:dyDescent="0.2">
      <c r="B467" s="61" t="s">
        <v>14</v>
      </c>
      <c r="C467" s="61" t="s">
        <v>29</v>
      </c>
      <c r="D467" s="61" t="s">
        <v>16</v>
      </c>
      <c r="E467" s="61" t="s">
        <v>17</v>
      </c>
      <c r="F467" s="61" t="s">
        <v>18</v>
      </c>
      <c r="K467" s="71"/>
      <c r="M467" s="84"/>
      <c r="N467" s="84"/>
      <c r="O467" s="84"/>
      <c r="P467" s="66"/>
      <c r="Q467" s="66"/>
      <c r="R467" s="66"/>
    </row>
    <row r="468" spans="1:26" x14ac:dyDescent="0.2">
      <c r="B468" s="59">
        <f>$J$2</f>
        <v>1</v>
      </c>
      <c r="C468" s="48" t="s">
        <v>334</v>
      </c>
      <c r="D468" s="49" t="str">
        <f>IF(C468&lt;&gt;"",VLOOKUP(C468,'Dummy Table'!$B$3:$C$30,2,FALSE),"")</f>
        <v>Austrália</v>
      </c>
      <c r="E468" s="49" t="str">
        <f>IF(C468&lt;&gt;"",VLOOKUP(C468,'Dummy Table'!$B$3:$D$30,3,FALSE),"")</f>
        <v>McLaren 🏆</v>
      </c>
      <c r="F468" s="50">
        <v>25</v>
      </c>
      <c r="G468" s="66">
        <f>IF(C468="",F468,0)</f>
        <v>0</v>
      </c>
      <c r="H468" s="66">
        <f>IF(C468="",F468,0)</f>
        <v>0</v>
      </c>
      <c r="I468" s="66">
        <f>IF(C468="",1,0)</f>
        <v>0</v>
      </c>
      <c r="K468" s="71"/>
    </row>
    <row r="469" spans="1:26" x14ac:dyDescent="0.2">
      <c r="B469" s="60">
        <f>$J$3</f>
        <v>2</v>
      </c>
      <c r="C469" s="48" t="s">
        <v>305</v>
      </c>
      <c r="D469" s="49" t="str">
        <f>IF(C469&lt;&gt;"",VLOOKUP(C469,'Dummy Table'!$B$3:$C$30,2,FALSE),"")</f>
        <v>Holanda</v>
      </c>
      <c r="E469" s="49" t="str">
        <f>IF(C469&lt;&gt;"",VLOOKUP(C469,'Dummy Table'!$B$3:$D$30,3,FALSE),"")</f>
        <v>Red Bull</v>
      </c>
      <c r="F469" s="50">
        <v>18</v>
      </c>
      <c r="H469" s="66">
        <f>IF(C469="",F469,0)</f>
        <v>0</v>
      </c>
      <c r="K469" s="71"/>
    </row>
    <row r="470" spans="1:26" x14ac:dyDescent="0.2">
      <c r="B470" s="60">
        <f>$J$4</f>
        <v>3</v>
      </c>
      <c r="C470" s="48" t="s">
        <v>341</v>
      </c>
      <c r="D470" s="49" t="str">
        <f>IF(C470&lt;&gt;"",VLOOKUP(C470,'Dummy Table'!$B$3:$C$30,2,FALSE),"")</f>
        <v>França</v>
      </c>
      <c r="E470" s="49" t="str">
        <f>IF(C470&lt;&gt;"",VLOOKUP(C470,'Dummy Table'!$B$3:$D$30,3,FALSE),"")</f>
        <v>Racing Bulls</v>
      </c>
      <c r="F470" s="50">
        <v>15</v>
      </c>
    </row>
    <row r="471" spans="1:26" x14ac:dyDescent="0.2">
      <c r="B471" s="60">
        <f>$J$5</f>
        <v>4</v>
      </c>
      <c r="C471" s="48" t="s">
        <v>394</v>
      </c>
      <c r="D471" s="49" t="str">
        <f>IF(C471&lt;&gt;"",VLOOKUP(C471,'Dummy Table'!$B$3:$C$30,2,FALSE),"")</f>
        <v>Inglaterra</v>
      </c>
      <c r="E471" s="49" t="str">
        <f>IF(C471&lt;&gt;"",VLOOKUP(C471,'Dummy Table'!$B$3:$D$30,3,FALSE),"")</f>
        <v>Mercedes</v>
      </c>
      <c r="F471" s="50">
        <v>12</v>
      </c>
      <c r="K471" s="78"/>
    </row>
    <row r="472" spans="1:26" x14ac:dyDescent="0.2">
      <c r="B472" s="60">
        <f>$J$6</f>
        <v>5</v>
      </c>
      <c r="C472" s="48" t="s">
        <v>315</v>
      </c>
      <c r="D472" s="49" t="str">
        <f>IF(C472&lt;&gt;"",VLOOKUP(C472,'Dummy Table'!$B$3:$C$30,2,FALSE),"")</f>
        <v>Tailandia</v>
      </c>
      <c r="E472" s="49" t="str">
        <f>IF(C472&lt;&gt;"",VLOOKUP(C472,'Dummy Table'!$B$3:$D$30,3,FALSE),"")</f>
        <v>Williams</v>
      </c>
      <c r="F472" s="50">
        <v>10</v>
      </c>
    </row>
    <row r="473" spans="1:26" x14ac:dyDescent="0.2">
      <c r="B473" s="60">
        <f>$J$7</f>
        <v>6</v>
      </c>
      <c r="C473" s="48" t="s">
        <v>338</v>
      </c>
      <c r="D473" s="49" t="str">
        <f>IF(C473&lt;&gt;"",VLOOKUP(C473,'Dummy Table'!$B$3:$C$30,2,FALSE),"")</f>
        <v>Inglaterra</v>
      </c>
      <c r="E473" s="49" t="str">
        <f>IF(C473&lt;&gt;"",VLOOKUP(C473,'Dummy Table'!$B$3:$D$30,3,FALSE),"")</f>
        <v>Haas</v>
      </c>
      <c r="F473" s="50">
        <v>8</v>
      </c>
      <c r="K473" s="71"/>
    </row>
    <row r="474" spans="1:26" x14ac:dyDescent="0.2">
      <c r="B474" s="60">
        <f>$J$8</f>
        <v>7</v>
      </c>
      <c r="C474" s="48" t="s">
        <v>311</v>
      </c>
      <c r="D474" s="49" t="str">
        <f>IF(C474&lt;&gt;"",VLOOKUP(C474,'Dummy Table'!$B$3:$C$30,2,FALSE),"")</f>
        <v>Canadá</v>
      </c>
      <c r="E474" s="49" t="str">
        <f>IF(C474&lt;&gt;"",VLOOKUP(C474,'Dummy Table'!$B$3:$D$30,3,FALSE),"")</f>
        <v>Aston Martin</v>
      </c>
      <c r="F474" s="50">
        <v>6</v>
      </c>
      <c r="K474" s="71"/>
    </row>
    <row r="475" spans="1:26" x14ac:dyDescent="0.2">
      <c r="B475" s="60">
        <f>$J$9</f>
        <v>8</v>
      </c>
      <c r="C475" s="48" t="s">
        <v>30</v>
      </c>
      <c r="D475" s="49" t="str">
        <f>IF(C475&lt;&gt;"",VLOOKUP(C475,'Dummy Table'!$B$3:$C$30,2,FALSE),"")</f>
        <v>Espanha</v>
      </c>
      <c r="E475" s="49" t="str">
        <f>IF(C475&lt;&gt;"",VLOOKUP(C475,'Dummy Table'!$B$3:$D$30,3,FALSE),"")</f>
        <v>Aston Martin</v>
      </c>
      <c r="F475" s="50">
        <v>4</v>
      </c>
      <c r="K475" s="71"/>
    </row>
    <row r="476" spans="1:26" s="79" customFormat="1" x14ac:dyDescent="0.2">
      <c r="A476" s="62"/>
      <c r="B476" s="60">
        <f>$J$10</f>
        <v>9</v>
      </c>
      <c r="C476" s="48" t="s">
        <v>339</v>
      </c>
      <c r="D476" s="49" t="str">
        <f>IF(C476&lt;&gt;"",VLOOKUP(C476,'Dummy Table'!$B$3:$C$30,2,FALSE),"")</f>
        <v>Japão</v>
      </c>
      <c r="E476" s="49" t="str">
        <f>IF(C476&lt;&gt;"",VLOOKUP(C476,'Dummy Table'!$B$3:$D$30,3,FALSE),"")</f>
        <v>Red Bull</v>
      </c>
      <c r="F476" s="50">
        <v>2</v>
      </c>
      <c r="G476" s="66"/>
      <c r="H476" s="66"/>
      <c r="I476" s="66"/>
      <c r="J476" s="73"/>
      <c r="K476" s="71"/>
      <c r="L476" s="78"/>
      <c r="M476" s="69"/>
      <c r="N476" s="69"/>
      <c r="O476" s="69"/>
      <c r="P476" s="68"/>
      <c r="Q476" s="68"/>
      <c r="R476" s="68"/>
      <c r="S476" s="78"/>
      <c r="T476" s="78"/>
      <c r="U476" s="78"/>
      <c r="V476" s="78"/>
      <c r="W476" s="78"/>
      <c r="X476" s="78"/>
      <c r="Y476" s="78"/>
      <c r="Z476" s="78"/>
    </row>
    <row r="477" spans="1:26" x14ac:dyDescent="0.2">
      <c r="B477" s="60">
        <f>$J$11</f>
        <v>10</v>
      </c>
      <c r="C477" s="48" t="s">
        <v>319</v>
      </c>
      <c r="D477" s="49" t="str">
        <f>IF(C477&lt;&gt;"",VLOOKUP(C477,'Dummy Table'!$B$3:$C$30,2,FALSE),"")</f>
        <v>França</v>
      </c>
      <c r="E477" s="49" t="str">
        <f>IF(C477&lt;&gt;"",VLOOKUP(C477,'Dummy Table'!$B$3:$D$30,3,FALSE),"")</f>
        <v>Haas</v>
      </c>
      <c r="F477" s="50">
        <v>1</v>
      </c>
      <c r="K477" s="71"/>
    </row>
    <row r="478" spans="1:26" x14ac:dyDescent="0.2">
      <c r="B478" s="60">
        <f>$J$12</f>
        <v>11</v>
      </c>
      <c r="C478" s="48" t="s">
        <v>400</v>
      </c>
      <c r="D478" s="49" t="str">
        <f>IF(C478&lt;&gt;"",VLOOKUP(C478,'Dummy Table'!$B$3:$C$30,2,FALSE),"")</f>
        <v>Argentina</v>
      </c>
      <c r="E478" s="49" t="str">
        <f>IF(C478&lt;&gt;"",VLOOKUP(C478,'Dummy Table'!$B$3:$D$30,3,FALSE),"")</f>
        <v>Alpine</v>
      </c>
      <c r="F478" s="51"/>
      <c r="K478" s="71"/>
    </row>
    <row r="479" spans="1:26" x14ac:dyDescent="0.2">
      <c r="B479" s="60">
        <f>$J$13</f>
        <v>12</v>
      </c>
      <c r="C479" s="48" t="s">
        <v>335</v>
      </c>
      <c r="D479" s="49" t="str">
        <f>IF(C479&lt;&gt;"",VLOOKUP(C479,'Dummy Table'!$B$3:$C$30,2,FALSE),"")</f>
        <v>Austrália</v>
      </c>
      <c r="E479" s="49" t="str">
        <f>IF(C479&lt;&gt;"",VLOOKUP(C479,'Dummy Table'!$B$3:$D$30,3,FALSE),"")</f>
        <v>Racing Bulls</v>
      </c>
      <c r="F479" s="51"/>
      <c r="K479" s="71"/>
    </row>
    <row r="480" spans="1:26" x14ac:dyDescent="0.2">
      <c r="B480" s="60">
        <f>$J$14</f>
        <v>13</v>
      </c>
      <c r="C480" s="48" t="s">
        <v>343</v>
      </c>
      <c r="D480" s="49" t="str">
        <f>IF(C480&lt;&gt;"",VLOOKUP(C480,'Dummy Table'!$B$3:$C$30,2,FALSE),"")</f>
        <v>Espanha</v>
      </c>
      <c r="E480" s="49" t="str">
        <f>IF(C480&lt;&gt;"",VLOOKUP(C480,'Dummy Table'!$B$3:$D$30,3,FALSE),"")</f>
        <v>Williams</v>
      </c>
      <c r="F480" s="51"/>
      <c r="G480" s="72"/>
      <c r="H480" s="72"/>
      <c r="I480" s="72"/>
      <c r="K480" s="71"/>
    </row>
    <row r="481" spans="1:26" x14ac:dyDescent="0.2">
      <c r="B481" s="60">
        <f>$J$15</f>
        <v>14</v>
      </c>
      <c r="C481" s="48" t="s">
        <v>257</v>
      </c>
      <c r="D481" s="49" t="str">
        <f>IF(C481&lt;&gt;"",VLOOKUP(C481,'Dummy Table'!$B$3:$C$30,2,FALSE),"")</f>
        <v>Alemanha</v>
      </c>
      <c r="E481" s="49" t="str">
        <f>IF(C481&lt;&gt;"",VLOOKUP(C481,'Dummy Table'!$B$3:$D$30,3,FALSE),"")</f>
        <v>Kick Sauber</v>
      </c>
      <c r="F481" s="51"/>
      <c r="G481" s="72"/>
      <c r="H481" s="72"/>
      <c r="I481" s="72"/>
      <c r="K481" s="71"/>
      <c r="M481" s="83"/>
      <c r="N481" s="83"/>
      <c r="O481" s="83"/>
      <c r="P481" s="78"/>
      <c r="Q481" s="78"/>
      <c r="R481" s="78"/>
    </row>
    <row r="482" spans="1:26" x14ac:dyDescent="0.2">
      <c r="B482" s="60">
        <f>$J$16</f>
        <v>15</v>
      </c>
      <c r="C482" s="48" t="s">
        <v>344</v>
      </c>
      <c r="D482" s="49" t="str">
        <f>IF(C482&lt;&gt;"",VLOOKUP(C482,'Dummy Table'!$B$3:$C$30,2,FALSE),"")</f>
        <v>Brasil</v>
      </c>
      <c r="E482" s="49" t="str">
        <f>IF(C482&lt;&gt;"",VLOOKUP(C482,'Dummy Table'!$B$3:$D$30,3,FALSE),"")</f>
        <v>Kick Sauber</v>
      </c>
      <c r="F482" s="51"/>
      <c r="G482" s="72"/>
      <c r="H482" s="72"/>
      <c r="I482" s="72"/>
      <c r="K482" s="71"/>
    </row>
    <row r="483" spans="1:26" x14ac:dyDescent="0.2">
      <c r="B483" s="60">
        <f>$J$17</f>
        <v>16</v>
      </c>
      <c r="C483" s="48" t="s">
        <v>336</v>
      </c>
      <c r="D483" s="49" t="str">
        <f>IF(C483&lt;&gt;"",VLOOKUP(C483,'Dummy Table'!$B$3:$C$30,2,FALSE),"")</f>
        <v>Itália</v>
      </c>
      <c r="E483" s="49" t="str">
        <f>IF(C483&lt;&gt;"",VLOOKUP(C483,'Dummy Table'!$B$3:$D$30,3,FALSE),"")</f>
        <v>Mercedes</v>
      </c>
      <c r="F483" s="51"/>
      <c r="G483" s="72"/>
      <c r="H483" s="72"/>
      <c r="I483" s="72"/>
      <c r="K483" s="71"/>
    </row>
    <row r="484" spans="1:26" x14ac:dyDescent="0.2">
      <c r="B484" s="60">
        <f>$J$18</f>
        <v>17</v>
      </c>
      <c r="C484" s="48" t="s">
        <v>312</v>
      </c>
      <c r="D484" s="49" t="str">
        <f>IF(C484&lt;&gt;"",VLOOKUP(C484,'Dummy Table'!$B$3:$C$30,2,FALSE),"")</f>
        <v>França</v>
      </c>
      <c r="E484" s="49" t="str">
        <f>IF(C484&lt;&gt;"",VLOOKUP(C484,'Dummy Table'!$B$3:$D$30,3,FALSE),"")</f>
        <v>Alpine</v>
      </c>
      <c r="F484" s="51"/>
      <c r="G484" s="72"/>
      <c r="H484" s="72"/>
      <c r="I484" s="72"/>
    </row>
    <row r="485" spans="1:26" x14ac:dyDescent="0.2">
      <c r="B485" s="60">
        <f>$J$19</f>
        <v>18</v>
      </c>
      <c r="C485" s="48" t="s">
        <v>316</v>
      </c>
      <c r="D485" s="49" t="str">
        <f>IF(C485&lt;&gt;"",VLOOKUP(C485,'Dummy Table'!$B$3:$C$30,2,FALSE),"")</f>
        <v>Inglaterra</v>
      </c>
      <c r="E485" s="49" t="str">
        <f>IF(C485&lt;&gt;"",VLOOKUP(C485,'Dummy Table'!$B$3:$D$30,3,FALSE),"")</f>
        <v>McLaren 🏆</v>
      </c>
      <c r="F485" s="51" t="s">
        <v>320</v>
      </c>
      <c r="G485" s="72"/>
      <c r="H485" s="72"/>
      <c r="I485" s="72"/>
      <c r="K485" s="78"/>
    </row>
    <row r="486" spans="1:26" x14ac:dyDescent="0.2">
      <c r="B486" s="60">
        <f>$J$20</f>
        <v>19</v>
      </c>
      <c r="C486" s="48" t="s">
        <v>313</v>
      </c>
      <c r="D486" s="49" t="str">
        <f>IF(C486&lt;&gt;"",VLOOKUP(C486,'Dummy Table'!$B$3:$C$30,2,FALSE),"")</f>
        <v>Mônaco</v>
      </c>
      <c r="E486" s="49" t="str">
        <f>IF(C486&lt;&gt;"",VLOOKUP(C486,'Dummy Table'!$B$3:$D$30,3,FALSE),"")</f>
        <v>Ferrari</v>
      </c>
      <c r="F486" s="51" t="s">
        <v>320</v>
      </c>
      <c r="G486" s="72"/>
      <c r="H486" s="72"/>
      <c r="I486" s="72"/>
    </row>
    <row r="487" spans="1:26" x14ac:dyDescent="0.2">
      <c r="B487" s="60">
        <f>$J$21</f>
        <v>20</v>
      </c>
      <c r="C487" s="48" t="s">
        <v>1</v>
      </c>
      <c r="D487" s="49" t="str">
        <f>IF(C487&lt;&gt;"",VLOOKUP(C487,'Dummy Table'!$B$3:$C$30,2,FALSE),"")</f>
        <v>Inglaterra</v>
      </c>
      <c r="E487" s="49" t="str">
        <f>IF(C487&lt;&gt;"",VLOOKUP(C487,'Dummy Table'!$B$3:$D$30,3,FALSE),"")</f>
        <v>Ferrari</v>
      </c>
      <c r="F487" s="51" t="s">
        <v>320</v>
      </c>
      <c r="G487" s="72"/>
      <c r="H487" s="72"/>
      <c r="I487" s="72"/>
      <c r="K487" s="71"/>
    </row>
    <row r="488" spans="1:26" ht="12.75" hidden="1" customHeight="1" x14ac:dyDescent="0.2">
      <c r="B488" s="76">
        <f>$J$22</f>
        <v>21</v>
      </c>
      <c r="C488" s="75"/>
      <c r="D488" s="65" t="str">
        <f>IF(C488&lt;&gt;"",VLOOKUP(C488,'Dummy Table'!$B$3:$C$30,2,FALSE),"")</f>
        <v/>
      </c>
      <c r="E488" s="65" t="str">
        <f>IF(C488&lt;&gt;"",VLOOKUP(C488,'Dummy Table'!$B$3:$D$30,3,FALSE),"")</f>
        <v/>
      </c>
      <c r="F488" s="77"/>
      <c r="G488" s="72"/>
      <c r="H488" s="72"/>
      <c r="I488" s="72"/>
      <c r="K488" s="71"/>
    </row>
    <row r="489" spans="1:26" ht="12.75" hidden="1" customHeight="1" x14ac:dyDescent="0.2">
      <c r="B489" s="76" t="str">
        <f>$J$23</f>
        <v/>
      </c>
      <c r="C489" s="75"/>
      <c r="D489" s="65" t="str">
        <f>IF(C489&lt;&gt;"",VLOOKUP(C489,'Dummy Table'!$B$3:$C$30,2,FALSE),"")</f>
        <v/>
      </c>
      <c r="E489" s="65" t="str">
        <f>IF(C489&lt;&gt;"",VLOOKUP(C489,'Dummy Table'!$B$3:$D$30,3,FALSE),"")</f>
        <v/>
      </c>
      <c r="F489" s="80"/>
      <c r="G489" s="72"/>
      <c r="H489" s="72"/>
      <c r="I489" s="72"/>
      <c r="K489" s="71"/>
    </row>
    <row r="490" spans="1:26" s="79" customFormat="1" ht="12.75" hidden="1" customHeight="1" x14ac:dyDescent="0.2">
      <c r="A490" s="62"/>
      <c r="B490" s="76" t="str">
        <f>IF(F490="",$J$24,"Ret")</f>
        <v/>
      </c>
      <c r="C490" s="75"/>
      <c r="D490" s="65" t="str">
        <f>IF(C490&lt;&gt;"",VLOOKUP(C490,'Dummy Table'!$B$3:$C$30,2,FALSE),"")</f>
        <v/>
      </c>
      <c r="E490" s="65" t="str">
        <f>IF(C490&lt;&gt;"",VLOOKUP(C490,'Dummy Table'!$B$3:$D$30,3,FALSE),"")</f>
        <v/>
      </c>
      <c r="F490" s="81"/>
      <c r="G490" s="72"/>
      <c r="H490" s="72"/>
      <c r="I490" s="72"/>
      <c r="J490" s="73"/>
      <c r="K490" s="71"/>
      <c r="L490" s="78"/>
      <c r="M490" s="69"/>
      <c r="N490" s="69"/>
      <c r="O490" s="69"/>
      <c r="P490" s="68"/>
      <c r="Q490" s="68"/>
      <c r="R490" s="68"/>
      <c r="S490" s="78"/>
      <c r="T490" s="78"/>
      <c r="U490" s="78"/>
      <c r="V490" s="78"/>
      <c r="W490" s="78"/>
      <c r="X490" s="78"/>
      <c r="Y490" s="78"/>
      <c r="Z490" s="78"/>
    </row>
    <row r="491" spans="1:26" ht="12.75" hidden="1" customHeight="1" x14ac:dyDescent="0.2">
      <c r="B491" s="76" t="str">
        <f>IF(F491="",$J$25,"Ret")</f>
        <v/>
      </c>
      <c r="C491" s="75"/>
      <c r="D491" s="65" t="str">
        <f>IF(C491&lt;&gt;"",VLOOKUP(C491,'Dummy Table'!$B$3:$C$30,2,FALSE),"")</f>
        <v/>
      </c>
      <c r="E491" s="65" t="str">
        <f>IF(C491&lt;&gt;"",VLOOKUP(C491,'Dummy Table'!$B$3:$D$30,3,FALSE),"")</f>
        <v/>
      </c>
      <c r="F491" s="81"/>
      <c r="G491" s="72"/>
      <c r="H491" s="72"/>
      <c r="I491" s="72"/>
      <c r="K491" s="71"/>
    </row>
    <row r="492" spans="1:26" x14ac:dyDescent="0.2">
      <c r="B492" s="52" t="s">
        <v>248</v>
      </c>
      <c r="C492" s="53" t="s">
        <v>334</v>
      </c>
      <c r="D492" s="54" t="str">
        <f>IF(C492&lt;&gt;"",VLOOKUP(C492,'Dummy Table'!$B$3:$C$30,2,FALSE),"")</f>
        <v>Austrália</v>
      </c>
      <c r="E492" s="54" t="str">
        <f>IF(C492&lt;&gt;"",VLOOKUP(C492,'Dummy Table'!$B$3:$D$30,3,FALSE),"")</f>
        <v>McLaren 🏆</v>
      </c>
      <c r="F492" s="55"/>
      <c r="H492" s="72"/>
      <c r="K492" s="71"/>
      <c r="M492" s="84"/>
      <c r="N492" s="84"/>
      <c r="O492" s="84"/>
      <c r="P492" s="66"/>
      <c r="Q492" s="66"/>
      <c r="R492" s="66"/>
    </row>
    <row r="493" spans="1:26" x14ac:dyDescent="0.2">
      <c r="B493" s="56" t="s">
        <v>238</v>
      </c>
      <c r="C493" s="57" t="s">
        <v>334</v>
      </c>
      <c r="D493" s="54" t="str">
        <f>IF(C493&lt;&gt;"",VLOOKUP(C493,'Dummy Table'!$B$3:$C$30,2,FALSE),"")</f>
        <v>Austrália</v>
      </c>
      <c r="E493" s="54" t="str">
        <f>IF(C493&lt;&gt;"",VLOOKUP(C493,'Dummy Table'!$B$3:$D$30,3,FALSE),"")</f>
        <v>McLaren 🏆</v>
      </c>
      <c r="F493" s="58"/>
      <c r="H493" s="66">
        <f>IF(C493="",F493,0)</f>
        <v>0</v>
      </c>
      <c r="K493" s="71"/>
      <c r="M493" s="84"/>
      <c r="N493" s="84"/>
      <c r="O493" s="84"/>
      <c r="P493" s="66"/>
      <c r="Q493" s="66"/>
      <c r="R493" s="66"/>
    </row>
    <row r="494" spans="1:26" x14ac:dyDescent="0.2">
      <c r="A494" s="62">
        <v>16</v>
      </c>
      <c r="B494" s="88">
        <f>VLOOKUP($A494,'Calendário atual'!$A$2:$E$30,2,FALSE)</f>
        <v>45907</v>
      </c>
      <c r="C494" s="162" t="str">
        <f>VLOOKUP($A494,'Calendário atual'!$A$2:$E$30,4,FALSE)</f>
        <v>FORMULA 1 PIRELLI GRAN PREMIO D'ITALIA 2025</v>
      </c>
      <c r="D494" s="162"/>
      <c r="E494" s="162"/>
      <c r="F494" s="88" t="str">
        <f>VLOOKUP($A494,'Calendário atual'!$A$2:$E$30,3,FALSE)</f>
        <v>Itália</v>
      </c>
      <c r="G494" s="72"/>
      <c r="H494" s="72"/>
      <c r="I494" s="72"/>
      <c r="K494" s="71"/>
      <c r="M494" s="84"/>
      <c r="N494" s="84"/>
      <c r="O494" s="84"/>
      <c r="P494" s="66"/>
      <c r="Q494" s="66"/>
      <c r="R494" s="66"/>
    </row>
    <row r="495" spans="1:26" x14ac:dyDescent="0.2">
      <c r="B495" s="61" t="s">
        <v>14</v>
      </c>
      <c r="C495" s="61" t="s">
        <v>29</v>
      </c>
      <c r="D495" s="61" t="s">
        <v>16</v>
      </c>
      <c r="E495" s="61" t="s">
        <v>17</v>
      </c>
      <c r="F495" s="61" t="s">
        <v>18</v>
      </c>
      <c r="K495" s="71"/>
      <c r="M495" s="84"/>
      <c r="N495" s="84"/>
      <c r="O495" s="84"/>
      <c r="P495" s="66"/>
      <c r="Q495" s="66"/>
      <c r="R495" s="66"/>
    </row>
    <row r="496" spans="1:26" x14ac:dyDescent="0.2">
      <c r="B496" s="59">
        <f>$J$2</f>
        <v>1</v>
      </c>
      <c r="C496" s="48" t="s">
        <v>305</v>
      </c>
      <c r="D496" s="49" t="str">
        <f>IF(C496&lt;&gt;"",VLOOKUP(C496,'Dummy Table'!$B$3:$C$30,2,FALSE),"")</f>
        <v>Holanda</v>
      </c>
      <c r="E496" s="49" t="str">
        <f>IF(C496&lt;&gt;"",VLOOKUP(C496,'Dummy Table'!$B$3:$D$30,3,FALSE),"")</f>
        <v>Red Bull</v>
      </c>
      <c r="F496" s="50">
        <v>25</v>
      </c>
      <c r="G496" s="66">
        <f>IF(C496="",F496,0)</f>
        <v>0</v>
      </c>
      <c r="H496" s="66">
        <f>IF(C496="",F496,0)</f>
        <v>0</v>
      </c>
      <c r="I496" s="66">
        <f>IF(C496="",1,0)</f>
        <v>0</v>
      </c>
      <c r="K496" s="71"/>
    </row>
    <row r="497" spans="1:26" x14ac:dyDescent="0.2">
      <c r="B497" s="60">
        <f>$J$3</f>
        <v>2</v>
      </c>
      <c r="C497" s="48" t="s">
        <v>316</v>
      </c>
      <c r="D497" s="49" t="str">
        <f>IF(C497&lt;&gt;"",VLOOKUP(C497,'Dummy Table'!$B$3:$C$30,2,FALSE),"")</f>
        <v>Inglaterra</v>
      </c>
      <c r="E497" s="49" t="str">
        <f>IF(C497&lt;&gt;"",VLOOKUP(C497,'Dummy Table'!$B$3:$D$30,3,FALSE),"")</f>
        <v>McLaren 🏆</v>
      </c>
      <c r="F497" s="50">
        <v>18</v>
      </c>
      <c r="H497" s="66">
        <f>IF(C497="",F497,0)</f>
        <v>0</v>
      </c>
      <c r="K497" s="71"/>
    </row>
    <row r="498" spans="1:26" x14ac:dyDescent="0.2">
      <c r="B498" s="60">
        <f>$J$4</f>
        <v>3</v>
      </c>
      <c r="C498" s="48" t="s">
        <v>334</v>
      </c>
      <c r="D498" s="49" t="str">
        <f>IF(C498&lt;&gt;"",VLOOKUP(C498,'Dummy Table'!$B$3:$C$30,2,FALSE),"")</f>
        <v>Austrália</v>
      </c>
      <c r="E498" s="49" t="str">
        <f>IF(C498&lt;&gt;"",VLOOKUP(C498,'Dummy Table'!$B$3:$D$30,3,FALSE),"")</f>
        <v>McLaren 🏆</v>
      </c>
      <c r="F498" s="50">
        <v>15</v>
      </c>
    </row>
    <row r="499" spans="1:26" x14ac:dyDescent="0.2">
      <c r="B499" s="60">
        <f>$J$5</f>
        <v>4</v>
      </c>
      <c r="C499" s="48" t="s">
        <v>313</v>
      </c>
      <c r="D499" s="49" t="str">
        <f>IF(C499&lt;&gt;"",VLOOKUP(C499,'Dummy Table'!$B$3:$C$30,2,FALSE),"")</f>
        <v>Mônaco</v>
      </c>
      <c r="E499" s="49" t="str">
        <f>IF(C499&lt;&gt;"",VLOOKUP(C499,'Dummy Table'!$B$3:$D$30,3,FALSE),"")</f>
        <v>Ferrari</v>
      </c>
      <c r="F499" s="50">
        <v>12</v>
      </c>
      <c r="K499" s="78"/>
    </row>
    <row r="500" spans="1:26" x14ac:dyDescent="0.2">
      <c r="B500" s="60">
        <f>$J$6</f>
        <v>5</v>
      </c>
      <c r="C500" s="48" t="s">
        <v>394</v>
      </c>
      <c r="D500" s="49" t="str">
        <f>IF(C500&lt;&gt;"",VLOOKUP(C500,'Dummy Table'!$B$3:$C$30,2,FALSE),"")</f>
        <v>Inglaterra</v>
      </c>
      <c r="E500" s="49" t="str">
        <f>IF(C500&lt;&gt;"",VLOOKUP(C500,'Dummy Table'!$B$3:$D$30,3,FALSE),"")</f>
        <v>Mercedes</v>
      </c>
      <c r="F500" s="50">
        <v>10</v>
      </c>
    </row>
    <row r="501" spans="1:26" x14ac:dyDescent="0.2">
      <c r="B501" s="60">
        <f>$J$7</f>
        <v>6</v>
      </c>
      <c r="C501" s="48" t="s">
        <v>1</v>
      </c>
      <c r="D501" s="49" t="str">
        <f>IF(C501&lt;&gt;"",VLOOKUP(C501,'Dummy Table'!$B$3:$C$30,2,FALSE),"")</f>
        <v>Inglaterra</v>
      </c>
      <c r="E501" s="49" t="str">
        <f>IF(C501&lt;&gt;"",VLOOKUP(C501,'Dummy Table'!$B$3:$D$30,3,FALSE),"")</f>
        <v>Ferrari</v>
      </c>
      <c r="F501" s="50">
        <v>8</v>
      </c>
      <c r="K501" s="71"/>
    </row>
    <row r="502" spans="1:26" x14ac:dyDescent="0.2">
      <c r="B502" s="60">
        <f>$J$8</f>
        <v>7</v>
      </c>
      <c r="C502" s="48" t="s">
        <v>315</v>
      </c>
      <c r="D502" s="49" t="str">
        <f>IF(C502&lt;&gt;"",VLOOKUP(C502,'Dummy Table'!$B$3:$C$30,2,FALSE),"")</f>
        <v>Tailandia</v>
      </c>
      <c r="E502" s="49" t="str">
        <f>IF(C502&lt;&gt;"",VLOOKUP(C502,'Dummy Table'!$B$3:$D$30,3,FALSE),"")</f>
        <v>Williams</v>
      </c>
      <c r="F502" s="50">
        <v>6</v>
      </c>
      <c r="K502" s="71"/>
    </row>
    <row r="503" spans="1:26" x14ac:dyDescent="0.2">
      <c r="B503" s="60">
        <f>$J$9</f>
        <v>8</v>
      </c>
      <c r="C503" s="48" t="s">
        <v>344</v>
      </c>
      <c r="D503" s="49" t="str">
        <f>IF(C503&lt;&gt;"",VLOOKUP(C503,'Dummy Table'!$B$3:$C$30,2,FALSE),"")</f>
        <v>Brasil</v>
      </c>
      <c r="E503" s="49" t="str">
        <f>IF(C503&lt;&gt;"",VLOOKUP(C503,'Dummy Table'!$B$3:$D$30,3,FALSE),"")</f>
        <v>Kick Sauber</v>
      </c>
      <c r="F503" s="50">
        <v>4</v>
      </c>
      <c r="K503" s="71"/>
    </row>
    <row r="504" spans="1:26" s="79" customFormat="1" x14ac:dyDescent="0.2">
      <c r="A504" s="62"/>
      <c r="B504" s="60">
        <f>$J$10</f>
        <v>9</v>
      </c>
      <c r="C504" s="48" t="s">
        <v>336</v>
      </c>
      <c r="D504" s="49" t="str">
        <f>IF(C504&lt;&gt;"",VLOOKUP(C504,'Dummy Table'!$B$3:$C$30,2,FALSE),"")</f>
        <v>Itália</v>
      </c>
      <c r="E504" s="49" t="str">
        <f>IF(C504&lt;&gt;"",VLOOKUP(C504,'Dummy Table'!$B$3:$D$30,3,FALSE),"")</f>
        <v>Mercedes</v>
      </c>
      <c r="F504" s="50">
        <v>2</v>
      </c>
      <c r="G504" s="66"/>
      <c r="H504" s="66"/>
      <c r="I504" s="66"/>
      <c r="J504" s="73"/>
      <c r="K504" s="71"/>
      <c r="L504" s="78"/>
      <c r="M504" s="69"/>
      <c r="N504" s="69"/>
      <c r="O504" s="69"/>
      <c r="P504" s="68"/>
      <c r="Q504" s="68"/>
      <c r="R504" s="68"/>
      <c r="S504" s="78"/>
      <c r="T504" s="78"/>
      <c r="U504" s="78"/>
      <c r="V504" s="78"/>
      <c r="W504" s="78"/>
      <c r="X504" s="78"/>
      <c r="Y504" s="78"/>
      <c r="Z504" s="78"/>
    </row>
    <row r="505" spans="1:26" x14ac:dyDescent="0.2">
      <c r="B505" s="60">
        <f>$J$11</f>
        <v>10</v>
      </c>
      <c r="C505" s="48" t="s">
        <v>341</v>
      </c>
      <c r="D505" s="49" t="str">
        <f>IF(C505&lt;&gt;"",VLOOKUP(C505,'Dummy Table'!$B$3:$C$30,2,FALSE),"")</f>
        <v>França</v>
      </c>
      <c r="E505" s="49" t="str">
        <f>IF(C505&lt;&gt;"",VLOOKUP(C505,'Dummy Table'!$B$3:$D$30,3,FALSE),"")</f>
        <v>Racing Bulls</v>
      </c>
      <c r="F505" s="50">
        <v>1</v>
      </c>
      <c r="K505" s="71"/>
    </row>
    <row r="506" spans="1:26" x14ac:dyDescent="0.2">
      <c r="B506" s="60">
        <f>$J$12</f>
        <v>11</v>
      </c>
      <c r="C506" s="48" t="s">
        <v>343</v>
      </c>
      <c r="D506" s="49" t="str">
        <f>IF(C506&lt;&gt;"",VLOOKUP(C506,'Dummy Table'!$B$3:$C$30,2,FALSE),"")</f>
        <v>Espanha</v>
      </c>
      <c r="E506" s="49" t="str">
        <f>IF(C506&lt;&gt;"",VLOOKUP(C506,'Dummy Table'!$B$3:$D$30,3,FALSE),"")</f>
        <v>Williams</v>
      </c>
      <c r="F506" s="51"/>
      <c r="K506" s="71"/>
    </row>
    <row r="507" spans="1:26" x14ac:dyDescent="0.2">
      <c r="B507" s="60">
        <f>$J$13</f>
        <v>12</v>
      </c>
      <c r="C507" s="48" t="s">
        <v>338</v>
      </c>
      <c r="D507" s="49" t="str">
        <f>IF(C507&lt;&gt;"",VLOOKUP(C507,'Dummy Table'!$B$3:$C$30,2,FALSE),"")</f>
        <v>Inglaterra</v>
      </c>
      <c r="E507" s="49" t="str">
        <f>IF(C507&lt;&gt;"",VLOOKUP(C507,'Dummy Table'!$B$3:$D$30,3,FALSE),"")</f>
        <v>Haas</v>
      </c>
      <c r="F507" s="51"/>
      <c r="K507" s="71"/>
    </row>
    <row r="508" spans="1:26" x14ac:dyDescent="0.2">
      <c r="B508" s="60">
        <f>$J$14</f>
        <v>13</v>
      </c>
      <c r="C508" s="48" t="s">
        <v>339</v>
      </c>
      <c r="D508" s="49" t="str">
        <f>IF(C508&lt;&gt;"",VLOOKUP(C508,'Dummy Table'!$B$3:$C$30,2,FALSE),"")</f>
        <v>Japão</v>
      </c>
      <c r="E508" s="49" t="str">
        <f>IF(C508&lt;&gt;"",VLOOKUP(C508,'Dummy Table'!$B$3:$D$30,3,FALSE),"")</f>
        <v>Red Bull</v>
      </c>
      <c r="F508" s="51"/>
      <c r="G508" s="72"/>
      <c r="H508" s="72"/>
      <c r="I508" s="72"/>
      <c r="K508" s="71"/>
    </row>
    <row r="509" spans="1:26" x14ac:dyDescent="0.2">
      <c r="B509" s="60">
        <f>$J$15</f>
        <v>14</v>
      </c>
      <c r="C509" s="48" t="s">
        <v>335</v>
      </c>
      <c r="D509" s="49" t="str">
        <f>IF(C509&lt;&gt;"",VLOOKUP(C509,'Dummy Table'!$B$3:$C$30,2,FALSE),"")</f>
        <v>Austrália</v>
      </c>
      <c r="E509" s="49" t="str">
        <f>IF(C509&lt;&gt;"",VLOOKUP(C509,'Dummy Table'!$B$3:$D$30,3,FALSE),"")</f>
        <v>Racing Bulls</v>
      </c>
      <c r="F509" s="51"/>
      <c r="G509" s="72"/>
      <c r="H509" s="72"/>
      <c r="I509" s="72"/>
      <c r="K509" s="71"/>
      <c r="M509" s="83"/>
      <c r="N509" s="83"/>
      <c r="O509" s="83"/>
      <c r="P509" s="78"/>
      <c r="Q509" s="78"/>
      <c r="R509" s="78"/>
    </row>
    <row r="510" spans="1:26" x14ac:dyDescent="0.2">
      <c r="B510" s="60">
        <f>$J$16</f>
        <v>15</v>
      </c>
      <c r="C510" s="48" t="s">
        <v>319</v>
      </c>
      <c r="D510" s="49" t="str">
        <f>IF(C510&lt;&gt;"",VLOOKUP(C510,'Dummy Table'!$B$3:$C$30,2,FALSE),"")</f>
        <v>França</v>
      </c>
      <c r="E510" s="49" t="str">
        <f>IF(C510&lt;&gt;"",VLOOKUP(C510,'Dummy Table'!$B$3:$D$30,3,FALSE),"")</f>
        <v>Haas</v>
      </c>
      <c r="F510" s="51"/>
      <c r="G510" s="72"/>
      <c r="H510" s="72"/>
      <c r="I510" s="72"/>
      <c r="K510" s="71"/>
    </row>
    <row r="511" spans="1:26" x14ac:dyDescent="0.2">
      <c r="B511" s="60">
        <f>$J$17</f>
        <v>16</v>
      </c>
      <c r="C511" s="48" t="s">
        <v>312</v>
      </c>
      <c r="D511" s="49" t="str">
        <f>IF(C511&lt;&gt;"",VLOOKUP(C511,'Dummy Table'!$B$3:$C$30,2,FALSE),"")</f>
        <v>França</v>
      </c>
      <c r="E511" s="49" t="str">
        <f>IF(C511&lt;&gt;"",VLOOKUP(C511,'Dummy Table'!$B$3:$D$30,3,FALSE),"")</f>
        <v>Alpine</v>
      </c>
      <c r="F511" s="51"/>
      <c r="G511" s="72"/>
      <c r="H511" s="72"/>
      <c r="I511" s="72"/>
      <c r="K511" s="71"/>
    </row>
    <row r="512" spans="1:26" x14ac:dyDescent="0.2">
      <c r="B512" s="60">
        <f>$J$18</f>
        <v>17</v>
      </c>
      <c r="C512" s="48" t="s">
        <v>400</v>
      </c>
      <c r="D512" s="49" t="str">
        <f>IF(C512&lt;&gt;"",VLOOKUP(C512,'Dummy Table'!$B$3:$C$30,2,FALSE),"")</f>
        <v>Argentina</v>
      </c>
      <c r="E512" s="49" t="str">
        <f>IF(C512&lt;&gt;"",VLOOKUP(C512,'Dummy Table'!$B$3:$D$30,3,FALSE),"")</f>
        <v>Alpine</v>
      </c>
      <c r="F512" s="51"/>
      <c r="G512" s="72"/>
      <c r="H512" s="72"/>
      <c r="I512" s="72"/>
    </row>
    <row r="513" spans="1:26" x14ac:dyDescent="0.2">
      <c r="B513" s="60">
        <f>$J$19</f>
        <v>18</v>
      </c>
      <c r="C513" s="48" t="s">
        <v>311</v>
      </c>
      <c r="D513" s="49" t="str">
        <f>IF(C513&lt;&gt;"",VLOOKUP(C513,'Dummy Table'!$B$3:$C$30,2,FALSE),"")</f>
        <v>Canadá</v>
      </c>
      <c r="E513" s="49" t="str">
        <f>IF(C513&lt;&gt;"",VLOOKUP(C513,'Dummy Table'!$B$3:$D$30,3,FALSE),"")</f>
        <v>Aston Martin</v>
      </c>
      <c r="F513" s="51"/>
      <c r="G513" s="72"/>
      <c r="H513" s="72"/>
      <c r="I513" s="72"/>
      <c r="K513" s="78"/>
    </row>
    <row r="514" spans="1:26" x14ac:dyDescent="0.2">
      <c r="B514" s="60">
        <f>$J$20</f>
        <v>19</v>
      </c>
      <c r="C514" s="48" t="s">
        <v>30</v>
      </c>
      <c r="D514" s="49" t="str">
        <f>IF(C514&lt;&gt;"",VLOOKUP(C514,'Dummy Table'!$B$3:$C$30,2,FALSE),"")</f>
        <v>Espanha</v>
      </c>
      <c r="E514" s="49" t="str">
        <f>IF(C514&lt;&gt;"",VLOOKUP(C514,'Dummy Table'!$B$3:$D$30,3,FALSE),"")</f>
        <v>Aston Martin</v>
      </c>
      <c r="F514" s="51" t="s">
        <v>320</v>
      </c>
      <c r="G514" s="72"/>
      <c r="H514" s="72"/>
      <c r="I514" s="72"/>
    </row>
    <row r="515" spans="1:26" x14ac:dyDescent="0.2">
      <c r="B515" s="60">
        <f>$J$21</f>
        <v>20</v>
      </c>
      <c r="C515" s="48" t="s">
        <v>257</v>
      </c>
      <c r="D515" s="49" t="str">
        <f>IF(C515&lt;&gt;"",VLOOKUP(C515,'Dummy Table'!$B$3:$C$30,2,FALSE),"")</f>
        <v>Alemanha</v>
      </c>
      <c r="E515" s="49" t="str">
        <f>IF(C515&lt;&gt;"",VLOOKUP(C515,'Dummy Table'!$B$3:$D$30,3,FALSE),"")</f>
        <v>Kick Sauber</v>
      </c>
      <c r="F515" s="51" t="s">
        <v>399</v>
      </c>
      <c r="G515" s="72"/>
      <c r="H515" s="72"/>
      <c r="I515" s="72"/>
      <c r="K515" s="71"/>
    </row>
    <row r="516" spans="1:26" ht="12.75" hidden="1" customHeight="1" x14ac:dyDescent="0.2">
      <c r="B516" s="76">
        <f>$J$22</f>
        <v>21</v>
      </c>
      <c r="C516" s="75"/>
      <c r="D516" s="65" t="str">
        <f>IF(C516&lt;&gt;"",VLOOKUP(C516,'Dummy Table'!$B$3:$C$30,2,FALSE),"")</f>
        <v/>
      </c>
      <c r="E516" s="65" t="str">
        <f>IF(C516&lt;&gt;"",VLOOKUP(C516,'Dummy Table'!$B$3:$D$30,3,FALSE),"")</f>
        <v/>
      </c>
      <c r="F516" s="77"/>
      <c r="G516" s="72"/>
      <c r="H516" s="72"/>
      <c r="I516" s="72"/>
      <c r="K516" s="71"/>
    </row>
    <row r="517" spans="1:26" ht="12.75" hidden="1" customHeight="1" x14ac:dyDescent="0.2">
      <c r="B517" s="76" t="str">
        <f>$J$23</f>
        <v/>
      </c>
      <c r="C517" s="75"/>
      <c r="D517" s="65" t="str">
        <f>IF(C517&lt;&gt;"",VLOOKUP(C517,'Dummy Table'!$B$3:$C$30,2,FALSE),"")</f>
        <v/>
      </c>
      <c r="E517" s="65" t="str">
        <f>IF(C517&lt;&gt;"",VLOOKUP(C517,'Dummy Table'!$B$3:$D$30,3,FALSE),"")</f>
        <v/>
      </c>
      <c r="F517" s="80"/>
      <c r="G517" s="72"/>
      <c r="H517" s="72"/>
      <c r="I517" s="72"/>
      <c r="K517" s="71"/>
    </row>
    <row r="518" spans="1:26" s="79" customFormat="1" ht="12.75" hidden="1" customHeight="1" x14ac:dyDescent="0.2">
      <c r="A518" s="62"/>
      <c r="B518" s="76" t="str">
        <f>IF(F518="",$J$24,"Ret")</f>
        <v/>
      </c>
      <c r="C518" s="75"/>
      <c r="D518" s="65" t="str">
        <f>IF(C518&lt;&gt;"",VLOOKUP(C518,'Dummy Table'!$B$3:$C$30,2,FALSE),"")</f>
        <v/>
      </c>
      <c r="E518" s="65" t="str">
        <f>IF(C518&lt;&gt;"",VLOOKUP(C518,'Dummy Table'!$B$3:$D$30,3,FALSE),"")</f>
        <v/>
      </c>
      <c r="F518" s="81"/>
      <c r="G518" s="72"/>
      <c r="H518" s="72"/>
      <c r="I518" s="72"/>
      <c r="J518" s="73"/>
      <c r="K518" s="71"/>
      <c r="L518" s="78"/>
      <c r="M518" s="69"/>
      <c r="N518" s="69"/>
      <c r="O518" s="69"/>
      <c r="P518" s="68"/>
      <c r="Q518" s="68"/>
      <c r="R518" s="68"/>
      <c r="S518" s="78"/>
      <c r="T518" s="78"/>
      <c r="U518" s="78"/>
      <c r="V518" s="78"/>
      <c r="W518" s="78"/>
      <c r="X518" s="78"/>
      <c r="Y518" s="78"/>
      <c r="Z518" s="78"/>
    </row>
    <row r="519" spans="1:26" ht="12.75" hidden="1" customHeight="1" x14ac:dyDescent="0.2">
      <c r="B519" s="76" t="str">
        <f>IF(F519="",$J$25,"Ret")</f>
        <v/>
      </c>
      <c r="C519" s="75"/>
      <c r="D519" s="65" t="str">
        <f>IF(C519&lt;&gt;"",VLOOKUP(C519,'Dummy Table'!$B$3:$C$30,2,FALSE),"")</f>
        <v/>
      </c>
      <c r="E519" s="65" t="str">
        <f>IF(C519&lt;&gt;"",VLOOKUP(C519,'Dummy Table'!$B$3:$D$30,3,FALSE),"")</f>
        <v/>
      </c>
      <c r="F519" s="81"/>
      <c r="G519" s="72"/>
      <c r="H519" s="72"/>
      <c r="I519" s="72"/>
      <c r="K519" s="71"/>
    </row>
    <row r="520" spans="1:26" x14ac:dyDescent="0.2">
      <c r="B520" s="52" t="s">
        <v>248</v>
      </c>
      <c r="C520" s="53" t="s">
        <v>305</v>
      </c>
      <c r="D520" s="54" t="str">
        <f>IF(C520&lt;&gt;"",VLOOKUP(C520,'Dummy Table'!$B$3:$C$30,2,FALSE),"")</f>
        <v>Holanda</v>
      </c>
      <c r="E520" s="54" t="str">
        <f>IF(C520&lt;&gt;"",VLOOKUP(C520,'Dummy Table'!$B$3:$D$30,3,FALSE),"")</f>
        <v>Red Bull</v>
      </c>
      <c r="F520" s="55"/>
      <c r="H520" s="72"/>
      <c r="M520" s="84"/>
      <c r="N520" s="84"/>
      <c r="O520" s="84"/>
      <c r="P520" s="66"/>
      <c r="Q520" s="66"/>
      <c r="R520" s="66"/>
    </row>
    <row r="521" spans="1:26" x14ac:dyDescent="0.2">
      <c r="B521" s="56" t="s">
        <v>238</v>
      </c>
      <c r="C521" s="57" t="s">
        <v>316</v>
      </c>
      <c r="D521" s="54" t="str">
        <f>IF(C521&lt;&gt;"",VLOOKUP(C521,'Dummy Table'!$B$3:$C$30,2,FALSE),"")</f>
        <v>Inglaterra</v>
      </c>
      <c r="E521" s="54" t="str">
        <f>IF(C521&lt;&gt;"",VLOOKUP(C521,'Dummy Table'!$B$3:$D$30,3,FALSE),"")</f>
        <v>McLaren 🏆</v>
      </c>
      <c r="F521" s="58"/>
      <c r="H521" s="66">
        <f>IF(C521="",F521,0)</f>
        <v>0</v>
      </c>
      <c r="M521" s="84"/>
      <c r="N521" s="84"/>
      <c r="O521" s="84"/>
      <c r="P521" s="66"/>
      <c r="Q521" s="66"/>
      <c r="R521" s="66"/>
    </row>
    <row r="522" spans="1:26" x14ac:dyDescent="0.2">
      <c r="A522" s="62">
        <v>17</v>
      </c>
      <c r="B522" s="88">
        <f>VLOOKUP($A522,'Calendário atual'!$A$2:$E$30,2,FALSE)</f>
        <v>45921</v>
      </c>
      <c r="C522" s="162" t="str">
        <f>VLOOKUP($A522,'Calendário atual'!$A$2:$E$30,4,FALSE)</f>
        <v>FORMULA 1 QATAR AIRWAYS AZERBAIJAN GRAND PRIX 2025</v>
      </c>
      <c r="D522" s="162"/>
      <c r="E522" s="162"/>
      <c r="F522" s="88" t="str">
        <f>VLOOKUP($A522,'Calendário atual'!$A$2:$E$30,3,FALSE)</f>
        <v>Azerbaijão</v>
      </c>
      <c r="G522" s="72"/>
      <c r="H522" s="72"/>
      <c r="I522" s="72"/>
      <c r="M522" s="84"/>
      <c r="N522" s="84"/>
      <c r="O522" s="84"/>
      <c r="P522" s="66"/>
      <c r="Q522" s="66"/>
      <c r="R522" s="66"/>
    </row>
    <row r="523" spans="1:26" x14ac:dyDescent="0.2">
      <c r="B523" s="61" t="s">
        <v>14</v>
      </c>
      <c r="C523" s="61" t="s">
        <v>29</v>
      </c>
      <c r="D523" s="61" t="s">
        <v>16</v>
      </c>
      <c r="E523" s="61" t="s">
        <v>17</v>
      </c>
      <c r="F523" s="61" t="s">
        <v>18</v>
      </c>
      <c r="M523" s="84"/>
      <c r="N523" s="84"/>
      <c r="O523" s="84"/>
      <c r="P523" s="66"/>
      <c r="Q523" s="66"/>
      <c r="R523" s="66"/>
    </row>
    <row r="524" spans="1:26" x14ac:dyDescent="0.2">
      <c r="B524" s="59">
        <f>$J$2</f>
        <v>1</v>
      </c>
      <c r="C524" s="48" t="s">
        <v>305</v>
      </c>
      <c r="D524" s="49" t="str">
        <f>IF(C524&lt;&gt;"",VLOOKUP(C524,'Dummy Table'!$B$3:$C$30,2,FALSE),"")</f>
        <v>Holanda</v>
      </c>
      <c r="E524" s="49" t="str">
        <f>IF(C524&lt;&gt;"",VLOOKUP(C524,'Dummy Table'!$B$3:$D$30,3,FALSE),"")</f>
        <v>Red Bull</v>
      </c>
      <c r="F524" s="50">
        <v>25</v>
      </c>
      <c r="G524" s="66">
        <f>IF(C524="",F524,0)</f>
        <v>0</v>
      </c>
      <c r="H524" s="66">
        <f>IF(C524="",F524,0)</f>
        <v>0</v>
      </c>
      <c r="I524" s="66">
        <f>IF(C524="",1,0)</f>
        <v>0</v>
      </c>
      <c r="K524" s="71"/>
    </row>
    <row r="525" spans="1:26" x14ac:dyDescent="0.2">
      <c r="B525" s="60">
        <f>$J$3</f>
        <v>2</v>
      </c>
      <c r="C525" s="48" t="s">
        <v>394</v>
      </c>
      <c r="D525" s="49" t="str">
        <f>IF(C525&lt;&gt;"",VLOOKUP(C525,'Dummy Table'!$B$3:$C$30,2,FALSE),"")</f>
        <v>Inglaterra</v>
      </c>
      <c r="E525" s="49" t="str">
        <f>IF(C525&lt;&gt;"",VLOOKUP(C525,'Dummy Table'!$B$3:$D$30,3,FALSE),"")</f>
        <v>Mercedes</v>
      </c>
      <c r="F525" s="50">
        <v>18</v>
      </c>
      <c r="H525" s="66">
        <f>IF(C525="",F525,0)</f>
        <v>0</v>
      </c>
      <c r="K525" s="71"/>
    </row>
    <row r="526" spans="1:26" x14ac:dyDescent="0.2">
      <c r="B526" s="60">
        <f>$J$4</f>
        <v>3</v>
      </c>
      <c r="C526" s="48" t="s">
        <v>343</v>
      </c>
      <c r="D526" s="49" t="str">
        <f>IF(C526&lt;&gt;"",VLOOKUP(C526,'Dummy Table'!$B$3:$C$30,2,FALSE),"")</f>
        <v>Espanha</v>
      </c>
      <c r="E526" s="49" t="str">
        <f>IF(C526&lt;&gt;"",VLOOKUP(C526,'Dummy Table'!$B$3:$D$30,3,FALSE),"")</f>
        <v>Williams</v>
      </c>
      <c r="F526" s="50">
        <v>15</v>
      </c>
    </row>
    <row r="527" spans="1:26" x14ac:dyDescent="0.2">
      <c r="B527" s="60">
        <f>$J$5</f>
        <v>4</v>
      </c>
      <c r="C527" s="48" t="s">
        <v>336</v>
      </c>
      <c r="D527" s="49" t="str">
        <f>IF(C527&lt;&gt;"",VLOOKUP(C527,'Dummy Table'!$B$3:$C$30,2,FALSE),"")</f>
        <v>Itália</v>
      </c>
      <c r="E527" s="49" t="str">
        <f>IF(C527&lt;&gt;"",VLOOKUP(C527,'Dummy Table'!$B$3:$D$30,3,FALSE),"")</f>
        <v>Mercedes</v>
      </c>
      <c r="F527" s="50">
        <v>12</v>
      </c>
      <c r="K527" s="78"/>
    </row>
    <row r="528" spans="1:26" x14ac:dyDescent="0.2">
      <c r="B528" s="60">
        <f>$J$6</f>
        <v>5</v>
      </c>
      <c r="C528" s="48" t="s">
        <v>335</v>
      </c>
      <c r="D528" s="49" t="str">
        <f>IF(C528&lt;&gt;"",VLOOKUP(C528,'Dummy Table'!$B$3:$C$30,2,FALSE),"")</f>
        <v>Austrália</v>
      </c>
      <c r="E528" s="49" t="str">
        <f>IF(C528&lt;&gt;"",VLOOKUP(C528,'Dummy Table'!$B$3:$D$30,3,FALSE),"")</f>
        <v>Racing Bulls</v>
      </c>
      <c r="F528" s="50">
        <v>10</v>
      </c>
    </row>
    <row r="529" spans="1:26" x14ac:dyDescent="0.2">
      <c r="B529" s="60">
        <f>$J$7</f>
        <v>6</v>
      </c>
      <c r="C529" s="48" t="s">
        <v>339</v>
      </c>
      <c r="D529" s="49" t="str">
        <f>IF(C529&lt;&gt;"",VLOOKUP(C529,'Dummy Table'!$B$3:$C$30,2,FALSE),"")</f>
        <v>Japão</v>
      </c>
      <c r="E529" s="49" t="str">
        <f>IF(C529&lt;&gt;"",VLOOKUP(C529,'Dummy Table'!$B$3:$D$30,3,FALSE),"")</f>
        <v>Red Bull</v>
      </c>
      <c r="F529" s="50">
        <v>8</v>
      </c>
      <c r="K529" s="71"/>
    </row>
    <row r="530" spans="1:26" x14ac:dyDescent="0.2">
      <c r="B530" s="60">
        <f>$J$8</f>
        <v>7</v>
      </c>
      <c r="C530" s="48" t="s">
        <v>316</v>
      </c>
      <c r="D530" s="49" t="str">
        <f>IF(C530&lt;&gt;"",VLOOKUP(C530,'Dummy Table'!$B$3:$C$30,2,FALSE),"")</f>
        <v>Inglaterra</v>
      </c>
      <c r="E530" s="49" t="str">
        <f>IF(C530&lt;&gt;"",VLOOKUP(C530,'Dummy Table'!$B$3:$D$30,3,FALSE),"")</f>
        <v>McLaren 🏆</v>
      </c>
      <c r="F530" s="50">
        <v>6</v>
      </c>
      <c r="K530" s="71"/>
    </row>
    <row r="531" spans="1:26" x14ac:dyDescent="0.2">
      <c r="B531" s="60">
        <f>$J$9</f>
        <v>8</v>
      </c>
      <c r="C531" s="48" t="s">
        <v>1</v>
      </c>
      <c r="D531" s="49" t="str">
        <f>IF(C531&lt;&gt;"",VLOOKUP(C531,'Dummy Table'!$B$3:$C$30,2,FALSE),"")</f>
        <v>Inglaterra</v>
      </c>
      <c r="E531" s="49" t="str">
        <f>IF(C531&lt;&gt;"",VLOOKUP(C531,'Dummy Table'!$B$3:$D$30,3,FALSE),"")</f>
        <v>Ferrari</v>
      </c>
      <c r="F531" s="50">
        <v>4</v>
      </c>
      <c r="K531" s="71"/>
    </row>
    <row r="532" spans="1:26" s="79" customFormat="1" x14ac:dyDescent="0.2">
      <c r="A532" s="62"/>
      <c r="B532" s="60">
        <f>$J$10</f>
        <v>9</v>
      </c>
      <c r="C532" s="48" t="s">
        <v>313</v>
      </c>
      <c r="D532" s="49" t="str">
        <f>IF(C532&lt;&gt;"",VLOOKUP(C532,'Dummy Table'!$B$3:$C$30,2,FALSE),"")</f>
        <v>Mônaco</v>
      </c>
      <c r="E532" s="49" t="str">
        <f>IF(C532&lt;&gt;"",VLOOKUP(C532,'Dummy Table'!$B$3:$D$30,3,FALSE),"")</f>
        <v>Ferrari</v>
      </c>
      <c r="F532" s="50">
        <v>2</v>
      </c>
      <c r="G532" s="66"/>
      <c r="H532" s="66"/>
      <c r="I532" s="66"/>
      <c r="J532" s="73"/>
      <c r="K532" s="71"/>
      <c r="L532" s="78"/>
      <c r="M532" s="69"/>
      <c r="N532" s="69"/>
      <c r="O532" s="69"/>
      <c r="P532" s="68"/>
      <c r="Q532" s="68"/>
      <c r="R532" s="68"/>
      <c r="S532" s="78"/>
      <c r="T532" s="78"/>
      <c r="U532" s="78"/>
      <c r="V532" s="78"/>
      <c r="W532" s="78"/>
      <c r="X532" s="78"/>
      <c r="Y532" s="78"/>
      <c r="Z532" s="78"/>
    </row>
    <row r="533" spans="1:26" x14ac:dyDescent="0.2">
      <c r="B533" s="60">
        <f>$J$11</f>
        <v>10</v>
      </c>
      <c r="C533" s="48" t="s">
        <v>341</v>
      </c>
      <c r="D533" s="49" t="str">
        <f>IF(C533&lt;&gt;"",VLOOKUP(C533,'Dummy Table'!$B$3:$C$30,2,FALSE),"")</f>
        <v>França</v>
      </c>
      <c r="E533" s="49" t="str">
        <f>IF(C533&lt;&gt;"",VLOOKUP(C533,'Dummy Table'!$B$3:$D$30,3,FALSE),"")</f>
        <v>Racing Bulls</v>
      </c>
      <c r="F533" s="50">
        <v>1</v>
      </c>
      <c r="K533" s="71"/>
    </row>
    <row r="534" spans="1:26" x14ac:dyDescent="0.2">
      <c r="B534" s="60">
        <f>$J$12</f>
        <v>11</v>
      </c>
      <c r="C534" s="48" t="s">
        <v>344</v>
      </c>
      <c r="D534" s="49" t="str">
        <f>IF(C534&lt;&gt;"",VLOOKUP(C534,'Dummy Table'!$B$3:$C$30,2,FALSE),"")</f>
        <v>Brasil</v>
      </c>
      <c r="E534" s="49" t="str">
        <f>IF(C534&lt;&gt;"",VLOOKUP(C534,'Dummy Table'!$B$3:$D$30,3,FALSE),"")</f>
        <v>Kick Sauber</v>
      </c>
      <c r="F534" s="51"/>
      <c r="K534" s="71"/>
    </row>
    <row r="535" spans="1:26" x14ac:dyDescent="0.2">
      <c r="B535" s="60">
        <f>$J$13</f>
        <v>12</v>
      </c>
      <c r="C535" s="48" t="s">
        <v>338</v>
      </c>
      <c r="D535" s="49" t="str">
        <f>IF(C535&lt;&gt;"",VLOOKUP(C535,'Dummy Table'!$B$3:$C$30,2,FALSE),"")</f>
        <v>Inglaterra</v>
      </c>
      <c r="E535" s="49" t="str">
        <f>IF(C535&lt;&gt;"",VLOOKUP(C535,'Dummy Table'!$B$3:$D$30,3,FALSE),"")</f>
        <v>Haas</v>
      </c>
      <c r="F535" s="51"/>
      <c r="K535" s="71"/>
    </row>
    <row r="536" spans="1:26" x14ac:dyDescent="0.2">
      <c r="B536" s="60">
        <f>$J$14</f>
        <v>13</v>
      </c>
      <c r="C536" s="48" t="s">
        <v>315</v>
      </c>
      <c r="D536" s="49" t="str">
        <f>IF(C536&lt;&gt;"",VLOOKUP(C536,'Dummy Table'!$B$3:$C$30,2,FALSE),"")</f>
        <v>Tailandia</v>
      </c>
      <c r="E536" s="49" t="str">
        <f>IF(C536&lt;&gt;"",VLOOKUP(C536,'Dummy Table'!$B$3:$D$30,3,FALSE),"")</f>
        <v>Williams</v>
      </c>
      <c r="F536" s="51"/>
      <c r="G536" s="72"/>
      <c r="H536" s="72"/>
      <c r="I536" s="72"/>
      <c r="K536" s="71"/>
    </row>
    <row r="537" spans="1:26" x14ac:dyDescent="0.2">
      <c r="B537" s="60">
        <f>$J$15</f>
        <v>14</v>
      </c>
      <c r="C537" s="48" t="s">
        <v>319</v>
      </c>
      <c r="D537" s="49" t="str">
        <f>IF(C537&lt;&gt;"",VLOOKUP(C537,'Dummy Table'!$B$3:$C$30,2,FALSE),"")</f>
        <v>França</v>
      </c>
      <c r="E537" s="49" t="str">
        <f>IF(C537&lt;&gt;"",VLOOKUP(C537,'Dummy Table'!$B$3:$D$30,3,FALSE),"")</f>
        <v>Haas</v>
      </c>
      <c r="F537" s="51"/>
      <c r="G537" s="72"/>
      <c r="H537" s="72"/>
      <c r="I537" s="72"/>
      <c r="K537" s="71"/>
      <c r="M537" s="83"/>
      <c r="N537" s="83"/>
      <c r="O537" s="83"/>
      <c r="P537" s="78"/>
      <c r="Q537" s="78"/>
      <c r="R537" s="78"/>
    </row>
    <row r="538" spans="1:26" x14ac:dyDescent="0.2">
      <c r="B538" s="60">
        <f>$J$16</f>
        <v>15</v>
      </c>
      <c r="C538" s="48" t="s">
        <v>30</v>
      </c>
      <c r="D538" s="49" t="str">
        <f>IF(C538&lt;&gt;"",VLOOKUP(C538,'Dummy Table'!$B$3:$C$30,2,FALSE),"")</f>
        <v>Espanha</v>
      </c>
      <c r="E538" s="49" t="str">
        <f>IF(C538&lt;&gt;"",VLOOKUP(C538,'Dummy Table'!$B$3:$D$30,3,FALSE),"")</f>
        <v>Aston Martin</v>
      </c>
      <c r="F538" s="51"/>
      <c r="G538" s="72"/>
      <c r="H538" s="72"/>
      <c r="I538" s="72"/>
      <c r="K538" s="71"/>
    </row>
    <row r="539" spans="1:26" x14ac:dyDescent="0.2">
      <c r="B539" s="60">
        <f>$J$17</f>
        <v>16</v>
      </c>
      <c r="C539" s="48" t="s">
        <v>257</v>
      </c>
      <c r="D539" s="49" t="str">
        <f>IF(C539&lt;&gt;"",VLOOKUP(C539,'Dummy Table'!$B$3:$C$30,2,FALSE),"")</f>
        <v>Alemanha</v>
      </c>
      <c r="E539" s="49" t="str">
        <f>IF(C539&lt;&gt;"",VLOOKUP(C539,'Dummy Table'!$B$3:$D$30,3,FALSE),"")</f>
        <v>Kick Sauber</v>
      </c>
      <c r="F539" s="51"/>
      <c r="G539" s="72"/>
      <c r="H539" s="72"/>
      <c r="I539" s="72"/>
      <c r="K539" s="71"/>
    </row>
    <row r="540" spans="1:26" x14ac:dyDescent="0.2">
      <c r="B540" s="60">
        <f>$J$18</f>
        <v>17</v>
      </c>
      <c r="C540" s="48" t="s">
        <v>311</v>
      </c>
      <c r="D540" s="49" t="str">
        <f>IF(C540&lt;&gt;"",VLOOKUP(C540,'Dummy Table'!$B$3:$C$30,2,FALSE),"")</f>
        <v>Canadá</v>
      </c>
      <c r="E540" s="49" t="str">
        <f>IF(C540&lt;&gt;"",VLOOKUP(C540,'Dummy Table'!$B$3:$D$30,3,FALSE),"")</f>
        <v>Aston Martin</v>
      </c>
      <c r="F540" s="51"/>
      <c r="G540" s="72"/>
      <c r="H540" s="72"/>
      <c r="I540" s="72"/>
    </row>
    <row r="541" spans="1:26" x14ac:dyDescent="0.2">
      <c r="B541" s="60">
        <f>$J$19</f>
        <v>18</v>
      </c>
      <c r="C541" s="48" t="s">
        <v>312</v>
      </c>
      <c r="D541" s="49" t="str">
        <f>IF(C541&lt;&gt;"",VLOOKUP(C541,'Dummy Table'!$B$3:$C$30,2,FALSE),"")</f>
        <v>França</v>
      </c>
      <c r="E541" s="49" t="str">
        <f>IF(C541&lt;&gt;"",VLOOKUP(C541,'Dummy Table'!$B$3:$D$30,3,FALSE),"")</f>
        <v>Alpine</v>
      </c>
      <c r="F541" s="51"/>
      <c r="G541" s="72"/>
      <c r="H541" s="72"/>
      <c r="I541" s="72"/>
      <c r="K541" s="78"/>
    </row>
    <row r="542" spans="1:26" x14ac:dyDescent="0.2">
      <c r="B542" s="60">
        <f>$J$20</f>
        <v>19</v>
      </c>
      <c r="C542" s="48" t="s">
        <v>400</v>
      </c>
      <c r="D542" s="49" t="str">
        <f>IF(C542&lt;&gt;"",VLOOKUP(C542,'Dummy Table'!$B$3:$C$30,2,FALSE),"")</f>
        <v>Argentina</v>
      </c>
      <c r="E542" s="49" t="str">
        <f>IF(C542&lt;&gt;"",VLOOKUP(C542,'Dummy Table'!$B$3:$D$30,3,FALSE),"")</f>
        <v>Alpine</v>
      </c>
      <c r="F542" s="51"/>
      <c r="G542" s="72"/>
      <c r="H542" s="72"/>
      <c r="I542" s="72"/>
    </row>
    <row r="543" spans="1:26" x14ac:dyDescent="0.2">
      <c r="B543" s="60">
        <f>$J$21</f>
        <v>20</v>
      </c>
      <c r="C543" s="48" t="s">
        <v>334</v>
      </c>
      <c r="D543" s="49" t="str">
        <f>IF(C543&lt;&gt;"",VLOOKUP(C543,'Dummy Table'!$B$3:$C$30,2,FALSE),"")</f>
        <v>Austrália</v>
      </c>
      <c r="E543" s="49" t="str">
        <f>IF(C543&lt;&gt;"",VLOOKUP(C543,'Dummy Table'!$B$3:$D$30,3,FALSE),"")</f>
        <v>McLaren 🏆</v>
      </c>
      <c r="F543" s="51" t="s">
        <v>320</v>
      </c>
      <c r="G543" s="72"/>
      <c r="H543" s="72"/>
      <c r="I543" s="72"/>
      <c r="K543" s="71"/>
    </row>
    <row r="544" spans="1:26" ht="12.75" hidden="1" customHeight="1" x14ac:dyDescent="0.2">
      <c r="B544" s="76">
        <f>$J$22</f>
        <v>21</v>
      </c>
      <c r="C544" s="75"/>
      <c r="D544" s="65" t="str">
        <f>IF(C544&lt;&gt;"",VLOOKUP(C544,'Dummy Table'!$B$3:$C$30,2,FALSE),"")</f>
        <v/>
      </c>
      <c r="E544" s="65" t="str">
        <f>IF(C544&lt;&gt;"",VLOOKUP(C544,'Dummy Table'!$B$3:$D$30,3,FALSE),"")</f>
        <v/>
      </c>
      <c r="F544" s="77"/>
      <c r="G544" s="72"/>
      <c r="H544" s="72"/>
      <c r="I544" s="72"/>
      <c r="K544" s="71"/>
    </row>
    <row r="545" spans="1:26" ht="12.75" hidden="1" customHeight="1" x14ac:dyDescent="0.2">
      <c r="B545" s="76" t="str">
        <f>$J$23</f>
        <v/>
      </c>
      <c r="C545" s="75"/>
      <c r="D545" s="65" t="str">
        <f>IF(C545&lt;&gt;"",VLOOKUP(C545,'Dummy Table'!$B$3:$C$30,2,FALSE),"")</f>
        <v/>
      </c>
      <c r="E545" s="65" t="str">
        <f>IF(C545&lt;&gt;"",VLOOKUP(C545,'Dummy Table'!$B$3:$D$30,3,FALSE),"")</f>
        <v/>
      </c>
      <c r="F545" s="80"/>
      <c r="G545" s="72"/>
      <c r="H545" s="72"/>
      <c r="I545" s="72"/>
      <c r="K545" s="71"/>
    </row>
    <row r="546" spans="1:26" s="79" customFormat="1" ht="12.75" hidden="1" customHeight="1" x14ac:dyDescent="0.2">
      <c r="A546" s="62"/>
      <c r="B546" s="76" t="str">
        <f>IF(F546="",$J$24,"Ret")</f>
        <v/>
      </c>
      <c r="C546" s="75"/>
      <c r="D546" s="65" t="str">
        <f>IF(C546&lt;&gt;"",VLOOKUP(C546,'Dummy Table'!$B$3:$C$30,2,FALSE),"")</f>
        <v/>
      </c>
      <c r="E546" s="65" t="str">
        <f>IF(C546&lt;&gt;"",VLOOKUP(C546,'Dummy Table'!$B$3:$D$30,3,FALSE),"")</f>
        <v/>
      </c>
      <c r="F546" s="81"/>
      <c r="G546" s="72"/>
      <c r="H546" s="72"/>
      <c r="I546" s="72"/>
      <c r="J546" s="73"/>
      <c r="K546" s="71"/>
      <c r="L546" s="78"/>
      <c r="M546" s="69"/>
      <c r="N546" s="69"/>
      <c r="O546" s="69"/>
      <c r="P546" s="68"/>
      <c r="Q546" s="68"/>
      <c r="R546" s="68"/>
      <c r="S546" s="78"/>
      <c r="T546" s="78"/>
      <c r="U546" s="78"/>
      <c r="V546" s="78"/>
      <c r="W546" s="78"/>
      <c r="X546" s="78"/>
      <c r="Y546" s="78"/>
      <c r="Z546" s="78"/>
    </row>
    <row r="547" spans="1:26" ht="12.75" hidden="1" customHeight="1" x14ac:dyDescent="0.2">
      <c r="B547" s="76" t="str">
        <f>IF(F547="",$J$25,"Ret")</f>
        <v/>
      </c>
      <c r="C547" s="75"/>
      <c r="D547" s="65" t="str">
        <f>IF(C547&lt;&gt;"",VLOOKUP(C547,'Dummy Table'!$B$3:$C$30,2,FALSE),"")</f>
        <v/>
      </c>
      <c r="E547" s="65" t="str">
        <f>IF(C547&lt;&gt;"",VLOOKUP(C547,'Dummy Table'!$B$3:$D$30,3,FALSE),"")</f>
        <v/>
      </c>
      <c r="F547" s="81"/>
      <c r="G547" s="72"/>
      <c r="H547" s="72"/>
      <c r="I547" s="72"/>
      <c r="K547" s="71"/>
    </row>
    <row r="548" spans="1:26" x14ac:dyDescent="0.2">
      <c r="B548" s="52" t="s">
        <v>248</v>
      </c>
      <c r="C548" s="53" t="s">
        <v>305</v>
      </c>
      <c r="D548" s="54" t="str">
        <f>IF(C548&lt;&gt;"",VLOOKUP(C548,'Dummy Table'!$B$3:$C$30,2,FALSE),"")</f>
        <v>Holanda</v>
      </c>
      <c r="E548" s="54" t="str">
        <f>IF(C548&lt;&gt;"",VLOOKUP(C548,'Dummy Table'!$B$3:$D$30,3,FALSE),"")</f>
        <v>Red Bull</v>
      </c>
      <c r="F548" s="55"/>
      <c r="H548" s="72"/>
      <c r="M548" s="84"/>
      <c r="N548" s="84"/>
      <c r="O548" s="84"/>
      <c r="P548" s="66"/>
      <c r="Q548" s="66"/>
      <c r="R548" s="66"/>
      <c r="V548" s="68"/>
      <c r="W548" s="68"/>
      <c r="X548" s="68"/>
      <c r="Y548" s="68"/>
      <c r="Z548" s="68"/>
    </row>
    <row r="549" spans="1:26" x14ac:dyDescent="0.2">
      <c r="B549" s="56" t="s">
        <v>238</v>
      </c>
      <c r="C549" s="57" t="s">
        <v>305</v>
      </c>
      <c r="D549" s="54" t="str">
        <f>IF(C549&lt;&gt;"",VLOOKUP(C549,'Dummy Table'!$B$3:$C$30,2,FALSE),"")</f>
        <v>Holanda</v>
      </c>
      <c r="E549" s="54" t="str">
        <f>IF(C549&lt;&gt;"",VLOOKUP(C549,'Dummy Table'!$B$3:$D$30,3,FALSE),"")</f>
        <v>Red Bull</v>
      </c>
      <c r="F549" s="58"/>
      <c r="H549" s="66">
        <f>IF(C549="",F549,0)</f>
        <v>0</v>
      </c>
      <c r="M549" s="84"/>
      <c r="N549" s="84"/>
      <c r="O549" s="84"/>
      <c r="P549" s="66"/>
      <c r="Q549" s="66"/>
      <c r="R549" s="66"/>
      <c r="V549" s="68"/>
      <c r="W549" s="68"/>
      <c r="X549" s="68"/>
      <c r="Y549" s="68"/>
      <c r="Z549" s="68"/>
    </row>
    <row r="550" spans="1:26" s="66" customFormat="1" x14ac:dyDescent="0.2">
      <c r="A550" s="62">
        <v>18</v>
      </c>
      <c r="B550" s="129">
        <f>VLOOKUP($A550,'Calendário atual'!$A$2:$E$30,2,FALSE)</f>
        <v>45935</v>
      </c>
      <c r="C550" s="162" t="str">
        <f>VLOOKUP($A550,'Calendário atual'!$A$2:$E$30,4,FALSE)</f>
        <v>FORMULA 1 SINGAPORE AIRLINES SINGAPORE GRAND PRIX 2025</v>
      </c>
      <c r="D550" s="162"/>
      <c r="E550" s="162"/>
      <c r="F550" s="129" t="str">
        <f>VLOOKUP($A550,'Calendário atual'!$A$2:$E$30,3,FALSE)</f>
        <v>Singapura</v>
      </c>
      <c r="G550" s="72"/>
      <c r="H550" s="72"/>
      <c r="I550" s="72"/>
      <c r="J550" s="67"/>
      <c r="M550" s="84"/>
      <c r="N550" s="84"/>
      <c r="O550" s="84"/>
    </row>
    <row r="551" spans="1:26" s="66" customFormat="1" x14ac:dyDescent="0.2">
      <c r="A551" s="62"/>
      <c r="B551" s="61" t="s">
        <v>14</v>
      </c>
      <c r="C551" s="61" t="s">
        <v>29</v>
      </c>
      <c r="D551" s="61" t="s">
        <v>16</v>
      </c>
      <c r="E551" s="61" t="s">
        <v>17</v>
      </c>
      <c r="F551" s="61" t="s">
        <v>18</v>
      </c>
      <c r="J551" s="67"/>
      <c r="M551" s="84"/>
      <c r="N551" s="84"/>
      <c r="O551" s="84"/>
    </row>
    <row r="552" spans="1:26" s="66" customFormat="1" x14ac:dyDescent="0.2">
      <c r="A552" s="62"/>
      <c r="B552" s="59">
        <f>$J$2</f>
        <v>1</v>
      </c>
      <c r="C552" s="48" t="s">
        <v>394</v>
      </c>
      <c r="D552" s="49" t="str">
        <f>IF(C552&lt;&gt;"",VLOOKUP(C552,'Dummy Table'!$B$3:$C$30,2,FALSE),"")</f>
        <v>Inglaterra</v>
      </c>
      <c r="E552" s="49" t="str">
        <f>IF(C552&lt;&gt;"",VLOOKUP(C552,'Dummy Table'!$B$3:$D$30,3,FALSE),"")</f>
        <v>Mercedes</v>
      </c>
      <c r="F552" s="50">
        <v>25</v>
      </c>
      <c r="G552" s="66">
        <f>IF(C552="",F552,0)</f>
        <v>0</v>
      </c>
      <c r="H552" s="66">
        <f>IF(C552="",F552,0)</f>
        <v>0</v>
      </c>
      <c r="I552" s="66">
        <f>IF(C552="",1,0)</f>
        <v>0</v>
      </c>
      <c r="J552" s="67"/>
      <c r="M552" s="84"/>
      <c r="N552" s="84"/>
      <c r="O552" s="84"/>
    </row>
    <row r="553" spans="1:26" s="66" customFormat="1" x14ac:dyDescent="0.2">
      <c r="A553" s="62"/>
      <c r="B553" s="60">
        <f>$J$3</f>
        <v>2</v>
      </c>
      <c r="C553" s="48" t="s">
        <v>305</v>
      </c>
      <c r="D553" s="49" t="str">
        <f>IF(C553&lt;&gt;"",VLOOKUP(C553,'Dummy Table'!$B$3:$C$30,2,FALSE),"")</f>
        <v>Holanda</v>
      </c>
      <c r="E553" s="49" t="str">
        <f>IF(C553&lt;&gt;"",VLOOKUP(C553,'Dummy Table'!$B$3:$D$30,3,FALSE),"")</f>
        <v>Red Bull</v>
      </c>
      <c r="F553" s="50">
        <v>18</v>
      </c>
      <c r="H553" s="66">
        <f>IF(C553="",F553,0)</f>
        <v>0</v>
      </c>
      <c r="J553" s="67"/>
      <c r="M553" s="84"/>
      <c r="N553" s="84"/>
      <c r="O553" s="84"/>
    </row>
    <row r="554" spans="1:26" s="66" customFormat="1" x14ac:dyDescent="0.2">
      <c r="A554" s="62"/>
      <c r="B554" s="60">
        <f>$J$4</f>
        <v>3</v>
      </c>
      <c r="C554" s="48" t="s">
        <v>316</v>
      </c>
      <c r="D554" s="49" t="str">
        <f>IF(C554&lt;&gt;"",VLOOKUP(C554,'Dummy Table'!$B$3:$C$30,2,FALSE),"")</f>
        <v>Inglaterra</v>
      </c>
      <c r="E554" s="49" t="str">
        <f>IF(C554&lt;&gt;"",VLOOKUP(C554,'Dummy Table'!$B$3:$D$30,3,FALSE),"")</f>
        <v>McLaren 🏆</v>
      </c>
      <c r="F554" s="50">
        <v>15</v>
      </c>
      <c r="J554" s="67"/>
      <c r="M554" s="84"/>
      <c r="N554" s="84"/>
      <c r="O554" s="84"/>
    </row>
    <row r="555" spans="1:26" s="66" customFormat="1" x14ac:dyDescent="0.2">
      <c r="A555" s="62"/>
      <c r="B555" s="60">
        <f>$J$5</f>
        <v>4</v>
      </c>
      <c r="C555" s="48" t="s">
        <v>334</v>
      </c>
      <c r="D555" s="49" t="str">
        <f>IF(C555&lt;&gt;"",VLOOKUP(C555,'Dummy Table'!$B$3:$C$30,2,FALSE),"")</f>
        <v>Austrália</v>
      </c>
      <c r="E555" s="49" t="str">
        <f>IF(C555&lt;&gt;"",VLOOKUP(C555,'Dummy Table'!$B$3:$D$30,3,FALSE),"")</f>
        <v>McLaren 🏆</v>
      </c>
      <c r="F555" s="50">
        <v>12</v>
      </c>
      <c r="J555" s="67"/>
      <c r="M555" s="84"/>
      <c r="N555" s="84"/>
      <c r="O555" s="84"/>
    </row>
    <row r="556" spans="1:26" s="66" customFormat="1" x14ac:dyDescent="0.2">
      <c r="A556" s="62"/>
      <c r="B556" s="60">
        <f>$J$6</f>
        <v>5</v>
      </c>
      <c r="C556" s="48" t="s">
        <v>336</v>
      </c>
      <c r="D556" s="49" t="str">
        <f>IF(C556&lt;&gt;"",VLOOKUP(C556,'Dummy Table'!$B$3:$C$30,2,FALSE),"")</f>
        <v>Itália</v>
      </c>
      <c r="E556" s="49" t="str">
        <f>IF(C556&lt;&gt;"",VLOOKUP(C556,'Dummy Table'!$B$3:$D$30,3,FALSE),"")</f>
        <v>Mercedes</v>
      </c>
      <c r="F556" s="50">
        <v>10</v>
      </c>
      <c r="J556" s="67"/>
      <c r="M556" s="84"/>
      <c r="N556" s="84"/>
      <c r="O556" s="84"/>
    </row>
    <row r="557" spans="1:26" s="66" customFormat="1" x14ac:dyDescent="0.2">
      <c r="A557" s="62"/>
      <c r="B557" s="60">
        <f>$J$7</f>
        <v>6</v>
      </c>
      <c r="C557" s="48" t="s">
        <v>313</v>
      </c>
      <c r="D557" s="49" t="str">
        <f>IF(C557&lt;&gt;"",VLOOKUP(C557,'Dummy Table'!$B$3:$C$30,2,FALSE),"")</f>
        <v>Mônaco</v>
      </c>
      <c r="E557" s="49" t="str">
        <f>IF(C557&lt;&gt;"",VLOOKUP(C557,'Dummy Table'!$B$3:$D$30,3,FALSE),"")</f>
        <v>Ferrari</v>
      </c>
      <c r="F557" s="50">
        <v>8</v>
      </c>
      <c r="J557" s="67"/>
      <c r="M557" s="84"/>
      <c r="N557" s="84"/>
      <c r="O557" s="84"/>
    </row>
    <row r="558" spans="1:26" s="66" customFormat="1" x14ac:dyDescent="0.2">
      <c r="A558" s="62"/>
      <c r="B558" s="60">
        <f>$J$8</f>
        <v>7</v>
      </c>
      <c r="C558" s="48" t="s">
        <v>30</v>
      </c>
      <c r="D558" s="49" t="str">
        <f>IF(C558&lt;&gt;"",VLOOKUP(C558,'Dummy Table'!$B$3:$C$30,2,FALSE),"")</f>
        <v>Espanha</v>
      </c>
      <c r="E558" s="49" t="str">
        <f>IF(C558&lt;&gt;"",VLOOKUP(C558,'Dummy Table'!$B$3:$D$30,3,FALSE),"")</f>
        <v>Aston Martin</v>
      </c>
      <c r="F558" s="50">
        <v>6</v>
      </c>
      <c r="J558" s="67"/>
      <c r="M558" s="84"/>
      <c r="N558" s="84"/>
      <c r="O558" s="84"/>
    </row>
    <row r="559" spans="1:26" s="66" customFormat="1" x14ac:dyDescent="0.2">
      <c r="A559" s="62"/>
      <c r="B559" s="60">
        <f>$J$9</f>
        <v>8</v>
      </c>
      <c r="C559" s="48" t="s">
        <v>1</v>
      </c>
      <c r="D559" s="49" t="str">
        <f>IF(C559&lt;&gt;"",VLOOKUP(C559,'Dummy Table'!$B$3:$C$30,2,FALSE),"")</f>
        <v>Inglaterra</v>
      </c>
      <c r="E559" s="49" t="str">
        <f>IF(C559&lt;&gt;"",VLOOKUP(C559,'Dummy Table'!$B$3:$D$30,3,FALSE),"")</f>
        <v>Ferrari</v>
      </c>
      <c r="F559" s="50">
        <v>4</v>
      </c>
      <c r="J559" s="67"/>
      <c r="M559" s="84"/>
      <c r="N559" s="84"/>
      <c r="O559" s="84"/>
    </row>
    <row r="560" spans="1:26" s="66" customFormat="1" x14ac:dyDescent="0.2">
      <c r="A560" s="62"/>
      <c r="B560" s="60">
        <f>$J$10</f>
        <v>9</v>
      </c>
      <c r="C560" s="48" t="s">
        <v>338</v>
      </c>
      <c r="D560" s="49" t="str">
        <f>IF(C560&lt;&gt;"",VLOOKUP(C560,'Dummy Table'!$B$3:$C$30,2,FALSE),"")</f>
        <v>Inglaterra</v>
      </c>
      <c r="E560" s="49" t="str">
        <f>IF(C560&lt;&gt;"",VLOOKUP(C560,'Dummy Table'!$B$3:$D$30,3,FALSE),"")</f>
        <v>Haas</v>
      </c>
      <c r="F560" s="50">
        <v>2</v>
      </c>
      <c r="J560" s="67"/>
      <c r="M560" s="84"/>
      <c r="N560" s="84"/>
      <c r="O560" s="84"/>
    </row>
    <row r="561" spans="1:15" s="66" customFormat="1" x14ac:dyDescent="0.2">
      <c r="A561" s="62"/>
      <c r="B561" s="60">
        <f>$J$11</f>
        <v>10</v>
      </c>
      <c r="C561" s="48" t="s">
        <v>343</v>
      </c>
      <c r="D561" s="49" t="str">
        <f>IF(C561&lt;&gt;"",VLOOKUP(C561,'Dummy Table'!$B$3:$C$30,2,FALSE),"")</f>
        <v>Espanha</v>
      </c>
      <c r="E561" s="49" t="str">
        <f>IF(C561&lt;&gt;"",VLOOKUP(C561,'Dummy Table'!$B$3:$D$30,3,FALSE),"")</f>
        <v>Williams</v>
      </c>
      <c r="F561" s="50">
        <v>1</v>
      </c>
      <c r="J561" s="67"/>
      <c r="M561" s="84"/>
      <c r="N561" s="84"/>
      <c r="O561" s="84"/>
    </row>
    <row r="562" spans="1:15" s="66" customFormat="1" x14ac:dyDescent="0.2">
      <c r="A562" s="62"/>
      <c r="B562" s="60">
        <f>$J$12</f>
        <v>11</v>
      </c>
      <c r="C562" s="48" t="s">
        <v>341</v>
      </c>
      <c r="D562" s="49" t="str">
        <f>IF(C562&lt;&gt;"",VLOOKUP(C562,'Dummy Table'!$B$3:$C$30,2,FALSE),"")</f>
        <v>França</v>
      </c>
      <c r="E562" s="49" t="str">
        <f>IF(C562&lt;&gt;"",VLOOKUP(C562,'Dummy Table'!$B$3:$D$30,3,FALSE),"")</f>
        <v>Racing Bulls</v>
      </c>
      <c r="F562" s="51"/>
      <c r="J562" s="67"/>
      <c r="M562" s="84"/>
      <c r="N562" s="84"/>
      <c r="O562" s="84"/>
    </row>
    <row r="563" spans="1:15" s="66" customFormat="1" x14ac:dyDescent="0.2">
      <c r="A563" s="62"/>
      <c r="B563" s="60">
        <f>$J$13</f>
        <v>12</v>
      </c>
      <c r="C563" s="48" t="s">
        <v>339</v>
      </c>
      <c r="D563" s="49" t="str">
        <f>IF(C563&lt;&gt;"",VLOOKUP(C563,'Dummy Table'!$B$3:$C$30,2,FALSE),"")</f>
        <v>Japão</v>
      </c>
      <c r="E563" s="49" t="str">
        <f>IF(C563&lt;&gt;"",VLOOKUP(C563,'Dummy Table'!$B$3:$D$30,3,FALSE),"")</f>
        <v>Red Bull</v>
      </c>
      <c r="F563" s="51"/>
      <c r="J563" s="67"/>
      <c r="M563" s="84"/>
      <c r="N563" s="84"/>
      <c r="O563" s="84"/>
    </row>
    <row r="564" spans="1:15" s="66" customFormat="1" x14ac:dyDescent="0.2">
      <c r="A564" s="62"/>
      <c r="B564" s="60">
        <f>$J$14</f>
        <v>13</v>
      </c>
      <c r="C564" s="48" t="s">
        <v>311</v>
      </c>
      <c r="D564" s="49" t="str">
        <f>IF(C564&lt;&gt;"",VLOOKUP(C564,'Dummy Table'!$B$3:$C$30,2,FALSE),"")</f>
        <v>Canadá</v>
      </c>
      <c r="E564" s="49" t="str">
        <f>IF(C564&lt;&gt;"",VLOOKUP(C564,'Dummy Table'!$B$3:$D$30,3,FALSE),"")</f>
        <v>Aston Martin</v>
      </c>
      <c r="F564" s="51"/>
      <c r="G564" s="72"/>
      <c r="H564" s="72"/>
      <c r="I564" s="72"/>
      <c r="J564" s="67"/>
      <c r="M564" s="84"/>
      <c r="N564" s="84"/>
      <c r="O564" s="84"/>
    </row>
    <row r="565" spans="1:15" s="66" customFormat="1" x14ac:dyDescent="0.2">
      <c r="A565" s="62"/>
      <c r="B565" s="60">
        <f>$J$15</f>
        <v>14</v>
      </c>
      <c r="C565" s="48" t="s">
        <v>315</v>
      </c>
      <c r="D565" s="49" t="str">
        <f>IF(C565&lt;&gt;"",VLOOKUP(C565,'Dummy Table'!$B$3:$C$30,2,FALSE),"")</f>
        <v>Tailandia</v>
      </c>
      <c r="E565" s="49" t="str">
        <f>IF(C565&lt;&gt;"",VLOOKUP(C565,'Dummy Table'!$B$3:$D$30,3,FALSE),"")</f>
        <v>Williams</v>
      </c>
      <c r="F565" s="51"/>
      <c r="G565" s="72"/>
      <c r="H565" s="72"/>
      <c r="I565" s="72"/>
      <c r="J565" s="67"/>
      <c r="M565" s="84"/>
      <c r="N565" s="84"/>
      <c r="O565" s="84"/>
    </row>
    <row r="566" spans="1:15" s="66" customFormat="1" x14ac:dyDescent="0.2">
      <c r="A566" s="62"/>
      <c r="B566" s="60">
        <f>$J$16</f>
        <v>15</v>
      </c>
      <c r="C566" s="48" t="s">
        <v>335</v>
      </c>
      <c r="D566" s="49" t="str">
        <f>IF(C566&lt;&gt;"",VLOOKUP(C566,'Dummy Table'!$B$3:$C$30,2,FALSE),"")</f>
        <v>Austrália</v>
      </c>
      <c r="E566" s="49" t="str">
        <f>IF(C566&lt;&gt;"",VLOOKUP(C566,'Dummy Table'!$B$3:$D$30,3,FALSE),"")</f>
        <v>Racing Bulls</v>
      </c>
      <c r="F566" s="51"/>
      <c r="G566" s="72"/>
      <c r="H566" s="72"/>
      <c r="I566" s="72"/>
      <c r="J566" s="67"/>
      <c r="M566" s="84"/>
      <c r="N566" s="84"/>
      <c r="O566" s="84"/>
    </row>
    <row r="567" spans="1:15" s="66" customFormat="1" x14ac:dyDescent="0.2">
      <c r="A567" s="62"/>
      <c r="B567" s="60">
        <f>$J$17</f>
        <v>16</v>
      </c>
      <c r="C567" s="48" t="s">
        <v>400</v>
      </c>
      <c r="D567" s="49" t="str">
        <f>IF(C567&lt;&gt;"",VLOOKUP(C567,'Dummy Table'!$B$3:$C$30,2,FALSE),"")</f>
        <v>Argentina</v>
      </c>
      <c r="E567" s="49" t="str">
        <f>IF(C567&lt;&gt;"",VLOOKUP(C567,'Dummy Table'!$B$3:$D$30,3,FALSE),"")</f>
        <v>Alpine</v>
      </c>
      <c r="F567" s="51"/>
      <c r="G567" s="72"/>
      <c r="H567" s="72"/>
      <c r="I567" s="72"/>
      <c r="J567" s="67"/>
      <c r="M567" s="84"/>
      <c r="N567" s="84"/>
      <c r="O567" s="84"/>
    </row>
    <row r="568" spans="1:15" s="66" customFormat="1" x14ac:dyDescent="0.2">
      <c r="A568" s="62"/>
      <c r="B568" s="60">
        <f>$J$18</f>
        <v>17</v>
      </c>
      <c r="C568" s="48" t="s">
        <v>344</v>
      </c>
      <c r="D568" s="49" t="str">
        <f>IF(C568&lt;&gt;"",VLOOKUP(C568,'Dummy Table'!$B$3:$C$30,2,FALSE),"")</f>
        <v>Brasil</v>
      </c>
      <c r="E568" s="49" t="str">
        <f>IF(C568&lt;&gt;"",VLOOKUP(C568,'Dummy Table'!$B$3:$D$30,3,FALSE),"")</f>
        <v>Kick Sauber</v>
      </c>
      <c r="F568" s="51"/>
      <c r="G568" s="72"/>
      <c r="H568" s="72"/>
      <c r="I568" s="72"/>
      <c r="J568" s="67"/>
      <c r="M568" s="84"/>
      <c r="N568" s="84"/>
      <c r="O568" s="84"/>
    </row>
    <row r="569" spans="1:15" s="66" customFormat="1" x14ac:dyDescent="0.2">
      <c r="A569" s="62"/>
      <c r="B569" s="60">
        <f>$J$19</f>
        <v>18</v>
      </c>
      <c r="C569" s="48" t="s">
        <v>319</v>
      </c>
      <c r="D569" s="49" t="str">
        <f>IF(C569&lt;&gt;"",VLOOKUP(C569,'Dummy Table'!$B$3:$C$30,2,FALSE),"")</f>
        <v>França</v>
      </c>
      <c r="E569" s="49" t="str">
        <f>IF(C569&lt;&gt;"",VLOOKUP(C569,'Dummy Table'!$B$3:$D$30,3,FALSE),"")</f>
        <v>Haas</v>
      </c>
      <c r="F569" s="51"/>
      <c r="G569" s="72"/>
      <c r="H569" s="72"/>
      <c r="I569" s="72"/>
      <c r="J569" s="67"/>
      <c r="M569" s="84"/>
      <c r="N569" s="84"/>
      <c r="O569" s="84"/>
    </row>
    <row r="570" spans="1:15" s="66" customFormat="1" x14ac:dyDescent="0.2">
      <c r="A570" s="62"/>
      <c r="B570" s="60">
        <f>$J$20</f>
        <v>19</v>
      </c>
      <c r="C570" s="48" t="s">
        <v>312</v>
      </c>
      <c r="D570" s="49" t="str">
        <f>IF(C570&lt;&gt;"",VLOOKUP(C570,'Dummy Table'!$B$3:$C$30,2,FALSE),"")</f>
        <v>França</v>
      </c>
      <c r="E570" s="49" t="str">
        <f>IF(C570&lt;&gt;"",VLOOKUP(C570,'Dummy Table'!$B$3:$D$30,3,FALSE),"")</f>
        <v>Alpine</v>
      </c>
      <c r="F570" s="51"/>
      <c r="G570" s="72"/>
      <c r="H570" s="72"/>
      <c r="I570" s="72"/>
      <c r="J570" s="67"/>
      <c r="M570" s="84"/>
      <c r="N570" s="84"/>
      <c r="O570" s="84"/>
    </row>
    <row r="571" spans="1:15" s="66" customFormat="1" x14ac:dyDescent="0.2">
      <c r="A571" s="62"/>
      <c r="B571" s="60">
        <f>$J$21</f>
        <v>20</v>
      </c>
      <c r="C571" s="48" t="s">
        <v>257</v>
      </c>
      <c r="D571" s="49" t="str">
        <f>IF(C571&lt;&gt;"",VLOOKUP(C571,'Dummy Table'!$B$3:$C$30,2,FALSE),"")</f>
        <v>Alemanha</v>
      </c>
      <c r="E571" s="49" t="str">
        <f>IF(C571&lt;&gt;"",VLOOKUP(C571,'Dummy Table'!$B$3:$D$30,3,FALSE),"")</f>
        <v>Kick Sauber</v>
      </c>
      <c r="F571" s="51"/>
      <c r="G571" s="72"/>
      <c r="H571" s="72"/>
      <c r="I571" s="72"/>
      <c r="J571" s="67"/>
      <c r="M571" s="84"/>
      <c r="N571" s="84"/>
      <c r="O571" s="84"/>
    </row>
    <row r="572" spans="1:15" s="66" customFormat="1" hidden="1" x14ac:dyDescent="0.2">
      <c r="A572" s="62"/>
      <c r="B572" s="76">
        <f>$J$22</f>
        <v>21</v>
      </c>
      <c r="C572" s="75"/>
      <c r="D572" s="65" t="str">
        <f>IF(C572&lt;&gt;"",VLOOKUP(C572,'Dummy Table'!$B$3:$C$30,2,FALSE),"")</f>
        <v/>
      </c>
      <c r="E572" s="65" t="str">
        <f>IF(C572&lt;&gt;"",VLOOKUP(C572,'Dummy Table'!$B$3:$D$30,3,FALSE),"")</f>
        <v/>
      </c>
      <c r="F572" s="77"/>
      <c r="G572" s="72"/>
      <c r="H572" s="72"/>
      <c r="I572" s="72"/>
      <c r="J572" s="67"/>
      <c r="M572" s="84"/>
      <c r="N572" s="84"/>
      <c r="O572" s="84"/>
    </row>
    <row r="573" spans="1:15" s="66" customFormat="1" hidden="1" x14ac:dyDescent="0.2">
      <c r="A573" s="62"/>
      <c r="B573" s="76" t="str">
        <f>$J$23</f>
        <v/>
      </c>
      <c r="C573" s="75"/>
      <c r="D573" s="65" t="str">
        <f>IF(C573&lt;&gt;"",VLOOKUP(C573,'Dummy Table'!$B$3:$C$30,2,FALSE),"")</f>
        <v/>
      </c>
      <c r="E573" s="65" t="str">
        <f>IF(C573&lt;&gt;"",VLOOKUP(C573,'Dummy Table'!$B$3:$D$30,3,FALSE),"")</f>
        <v/>
      </c>
      <c r="F573" s="80"/>
      <c r="G573" s="72"/>
      <c r="H573" s="72"/>
      <c r="I573" s="72"/>
      <c r="J573" s="67"/>
      <c r="M573" s="84"/>
      <c r="N573" s="84"/>
      <c r="O573" s="84"/>
    </row>
    <row r="574" spans="1:15" s="66" customFormat="1" hidden="1" x14ac:dyDescent="0.2">
      <c r="A574" s="62"/>
      <c r="B574" s="76" t="str">
        <f>IF(F574="",$J$24,"Ret")</f>
        <v/>
      </c>
      <c r="C574" s="75"/>
      <c r="D574" s="65" t="str">
        <f>IF(C574&lt;&gt;"",VLOOKUP(C574,'Dummy Table'!$B$3:$C$30,2,FALSE),"")</f>
        <v/>
      </c>
      <c r="E574" s="65" t="str">
        <f>IF(C574&lt;&gt;"",VLOOKUP(C574,'Dummy Table'!$B$3:$D$30,3,FALSE),"")</f>
        <v/>
      </c>
      <c r="F574" s="81"/>
      <c r="G574" s="72"/>
      <c r="H574" s="72"/>
      <c r="I574" s="72"/>
      <c r="J574" s="67"/>
      <c r="M574" s="84"/>
      <c r="N574" s="84"/>
      <c r="O574" s="84"/>
    </row>
    <row r="575" spans="1:15" s="66" customFormat="1" hidden="1" x14ac:dyDescent="0.2">
      <c r="A575" s="62"/>
      <c r="B575" s="76" t="str">
        <f>IF(F575="",$J$25,"Ret")</f>
        <v/>
      </c>
      <c r="C575" s="75"/>
      <c r="D575" s="65" t="str">
        <f>IF(C575&lt;&gt;"",VLOOKUP(C575,'Dummy Table'!$B$3:$C$30,2,FALSE),"")</f>
        <v/>
      </c>
      <c r="E575" s="65" t="str">
        <f>IF(C575&lt;&gt;"",VLOOKUP(C575,'Dummy Table'!$B$3:$D$30,3,FALSE),"")</f>
        <v/>
      </c>
      <c r="F575" s="81"/>
      <c r="G575" s="72"/>
      <c r="H575" s="72"/>
      <c r="I575" s="72"/>
      <c r="J575" s="67"/>
      <c r="M575" s="84"/>
      <c r="N575" s="84"/>
      <c r="O575" s="84"/>
    </row>
    <row r="576" spans="1:15" s="66" customFormat="1" x14ac:dyDescent="0.2">
      <c r="A576" s="62"/>
      <c r="B576" s="52" t="s">
        <v>248</v>
      </c>
      <c r="C576" s="53" t="s">
        <v>394</v>
      </c>
      <c r="D576" s="54" t="str">
        <f>IF(C576&lt;&gt;"",VLOOKUP(C576,'Dummy Table'!$B$3:$C$30,2,FALSE),"")</f>
        <v>Inglaterra</v>
      </c>
      <c r="E576" s="54" t="str">
        <f>IF(C576&lt;&gt;"",VLOOKUP(C576,'Dummy Table'!$B$3:$D$30,3,FALSE),"")</f>
        <v>Mercedes</v>
      </c>
      <c r="F576" s="55"/>
      <c r="H576" s="72"/>
      <c r="J576" s="67"/>
      <c r="M576" s="84"/>
      <c r="N576" s="84"/>
      <c r="O576" s="84"/>
    </row>
    <row r="577" spans="1:26" s="66" customFormat="1" x14ac:dyDescent="0.2">
      <c r="A577" s="62"/>
      <c r="B577" s="56" t="s">
        <v>238</v>
      </c>
      <c r="C577" s="57" t="s">
        <v>1</v>
      </c>
      <c r="D577" s="54" t="str">
        <f>IF(C577&lt;&gt;"",VLOOKUP(C577,'Dummy Table'!$B$3:$C$30,2,FALSE),"")</f>
        <v>Inglaterra</v>
      </c>
      <c r="E577" s="54" t="str">
        <f>IF(C577&lt;&gt;"",VLOOKUP(C577,'Dummy Table'!$B$3:$D$30,3,FALSE),"")</f>
        <v>Ferrari</v>
      </c>
      <c r="F577" s="58"/>
      <c r="H577" s="66">
        <f>IF(C577="",F577,0)</f>
        <v>0</v>
      </c>
      <c r="J577" s="67"/>
      <c r="M577" s="84"/>
      <c r="N577" s="84"/>
      <c r="O577" s="84"/>
    </row>
    <row r="578" spans="1:26" s="66" customFormat="1" x14ac:dyDescent="0.2">
      <c r="A578" s="62">
        <v>19</v>
      </c>
      <c r="B578" s="129">
        <f>VLOOKUP($A578,'Calendário atual'!$A$2:$E$30,2,FALSE)</f>
        <v>45949</v>
      </c>
      <c r="C578" s="162" t="str">
        <f>VLOOKUP($A578,'Calendário atual'!$A$2:$E$30,4,FALSE)</f>
        <v>FORMULA 1 MSC CRUISES UNITED STATES GRAND PRIX 2025</v>
      </c>
      <c r="D578" s="162"/>
      <c r="E578" s="162"/>
      <c r="F578" s="129" t="str">
        <f>VLOOKUP($A578,'Calendário atual'!$A$2:$E$30,3,FALSE)</f>
        <v>USA</v>
      </c>
      <c r="G578" s="72"/>
      <c r="H578" s="72"/>
      <c r="I578" s="72"/>
      <c r="J578" s="67"/>
      <c r="M578" s="84"/>
      <c r="N578" s="84"/>
      <c r="O578" s="84"/>
    </row>
    <row r="579" spans="1:26" x14ac:dyDescent="0.2">
      <c r="B579" s="134"/>
      <c r="C579" s="136" t="s">
        <v>396</v>
      </c>
      <c r="D579" s="135"/>
      <c r="E579" s="135"/>
      <c r="F579" s="135"/>
      <c r="G579" s="72"/>
      <c r="H579" s="72"/>
      <c r="I579" s="72"/>
      <c r="K579" s="82"/>
      <c r="M579" s="74"/>
      <c r="N579" s="74"/>
      <c r="O579" s="74"/>
      <c r="P579" s="74"/>
      <c r="Q579" s="74"/>
      <c r="R579" s="74"/>
      <c r="S579" s="74"/>
      <c r="T579" s="74"/>
      <c r="V579" s="68"/>
      <c r="W579" s="68"/>
      <c r="X579" s="68"/>
    </row>
    <row r="580" spans="1:26" x14ac:dyDescent="0.2">
      <c r="B580" s="61" t="s">
        <v>14</v>
      </c>
      <c r="C580" s="61" t="s">
        <v>29</v>
      </c>
      <c r="D580" s="61" t="s">
        <v>16</v>
      </c>
      <c r="E580" s="61" t="s">
        <v>17</v>
      </c>
      <c r="F580" s="61" t="s">
        <v>18</v>
      </c>
      <c r="M580" s="83"/>
      <c r="N580" s="83"/>
      <c r="O580" s="83"/>
      <c r="P580" s="78"/>
      <c r="Q580" s="78"/>
      <c r="R580" s="78"/>
      <c r="V580" s="68"/>
      <c r="W580" s="68"/>
      <c r="X580" s="68"/>
    </row>
    <row r="581" spans="1:26" x14ac:dyDescent="0.2">
      <c r="B581" s="59">
        <f>$J$2</f>
        <v>1</v>
      </c>
      <c r="C581" s="48" t="s">
        <v>305</v>
      </c>
      <c r="D581" s="49" t="str">
        <f>IF(C581&lt;&gt;"",VLOOKUP(C581,'Dummy Table'!$B$3:$C$30,2,FALSE),"")</f>
        <v>Holanda</v>
      </c>
      <c r="E581" s="49" t="str">
        <f>IF(C581&lt;&gt;"",VLOOKUP(C581,'Dummy Table'!$B$3:$D$30,3,FALSE),"")</f>
        <v>Red Bull</v>
      </c>
      <c r="F581" s="50">
        <v>8</v>
      </c>
      <c r="G581" s="66">
        <f>IF(C581="",F581,0)</f>
        <v>0</v>
      </c>
      <c r="H581" s="66">
        <f>IF(C581="",F581,0)</f>
        <v>0</v>
      </c>
      <c r="K581" s="71"/>
      <c r="M581" s="130"/>
      <c r="N581" s="130"/>
      <c r="O581" s="130"/>
      <c r="V581" s="68"/>
      <c r="W581" s="68"/>
      <c r="X581" s="68"/>
    </row>
    <row r="582" spans="1:26" x14ac:dyDescent="0.2">
      <c r="B582" s="60">
        <f>$J$3</f>
        <v>2</v>
      </c>
      <c r="C582" s="48" t="s">
        <v>394</v>
      </c>
      <c r="D582" s="49" t="str">
        <f>IF(C582&lt;&gt;"",VLOOKUP(C582,'Dummy Table'!$B$3:$C$30,2,FALSE),"")</f>
        <v>Inglaterra</v>
      </c>
      <c r="E582" s="49" t="str">
        <f>IF(C582&lt;&gt;"",VLOOKUP(C582,'Dummy Table'!$B$3:$D$30,3,FALSE),"")</f>
        <v>Mercedes</v>
      </c>
      <c r="F582" s="50">
        <v>7</v>
      </c>
      <c r="H582" s="66">
        <f>IF(C582="",F582,0)</f>
        <v>0</v>
      </c>
      <c r="K582" s="71"/>
      <c r="M582" s="130"/>
      <c r="N582" s="130"/>
      <c r="O582" s="130"/>
    </row>
    <row r="583" spans="1:26" x14ac:dyDescent="0.2">
      <c r="B583" s="60">
        <f>$J$4</f>
        <v>3</v>
      </c>
      <c r="C583" s="48" t="s">
        <v>343</v>
      </c>
      <c r="D583" s="49" t="str">
        <f>IF(C583&lt;&gt;"",VLOOKUP(C583,'Dummy Table'!$B$3:$C$30,2,FALSE),"")</f>
        <v>Espanha</v>
      </c>
      <c r="E583" s="49" t="str">
        <f>IF(C583&lt;&gt;"",VLOOKUP(C583,'Dummy Table'!$B$3:$D$30,3,FALSE),"")</f>
        <v>Williams</v>
      </c>
      <c r="F583" s="50">
        <v>6</v>
      </c>
      <c r="M583" s="130"/>
      <c r="N583" s="130"/>
      <c r="O583" s="130"/>
    </row>
    <row r="584" spans="1:26" x14ac:dyDescent="0.2">
      <c r="B584" s="60">
        <f>$J$5</f>
        <v>4</v>
      </c>
      <c r="C584" s="48" t="s">
        <v>1</v>
      </c>
      <c r="D584" s="49" t="str">
        <f>IF(C584&lt;&gt;"",VLOOKUP(C584,'Dummy Table'!$B$3:$C$30,2,FALSE),"")</f>
        <v>Inglaterra</v>
      </c>
      <c r="E584" s="49" t="str">
        <f>IF(C584&lt;&gt;"",VLOOKUP(C584,'Dummy Table'!$B$3:$D$30,3,FALSE),"")</f>
        <v>Ferrari</v>
      </c>
      <c r="F584" s="50">
        <v>5</v>
      </c>
      <c r="K584" s="78"/>
      <c r="M584" s="130"/>
      <c r="N584" s="130"/>
      <c r="O584" s="130"/>
    </row>
    <row r="585" spans="1:26" x14ac:dyDescent="0.2">
      <c r="B585" s="60">
        <f>$J$6</f>
        <v>5</v>
      </c>
      <c r="C585" s="48" t="s">
        <v>313</v>
      </c>
      <c r="D585" s="49" t="str">
        <f>IF(C585&lt;&gt;"",VLOOKUP(C585,'Dummy Table'!$B$3:$C$30,2,FALSE),"")</f>
        <v>Mônaco</v>
      </c>
      <c r="E585" s="49" t="str">
        <f>IF(C585&lt;&gt;"",VLOOKUP(C585,'Dummy Table'!$B$3:$D$30,3,FALSE),"")</f>
        <v>Ferrari</v>
      </c>
      <c r="F585" s="50">
        <v>4</v>
      </c>
      <c r="M585" s="130"/>
      <c r="N585" s="130"/>
      <c r="O585" s="130"/>
    </row>
    <row r="586" spans="1:26" x14ac:dyDescent="0.2">
      <c r="B586" s="60">
        <f>$J$7</f>
        <v>6</v>
      </c>
      <c r="C586" s="48" t="s">
        <v>315</v>
      </c>
      <c r="D586" s="49" t="str">
        <f>IF(C586&lt;&gt;"",VLOOKUP(C586,'Dummy Table'!$B$3:$C$30,2,FALSE),"")</f>
        <v>Tailandia</v>
      </c>
      <c r="E586" s="49" t="str">
        <f>IF(C586&lt;&gt;"",VLOOKUP(C586,'Dummy Table'!$B$3:$D$30,3,FALSE),"")</f>
        <v>Williams</v>
      </c>
      <c r="F586" s="50">
        <v>3</v>
      </c>
      <c r="K586" s="71"/>
      <c r="M586" s="130"/>
      <c r="N586" s="130"/>
      <c r="O586" s="130"/>
    </row>
    <row r="587" spans="1:26" x14ac:dyDescent="0.2">
      <c r="B587" s="60">
        <f>$J$8</f>
        <v>7</v>
      </c>
      <c r="C587" s="48" t="s">
        <v>339</v>
      </c>
      <c r="D587" s="49" t="str">
        <f>IF(C587&lt;&gt;"",VLOOKUP(C587,'Dummy Table'!$B$3:$C$30,2,FALSE),"")</f>
        <v>Japão</v>
      </c>
      <c r="E587" s="49" t="str">
        <f>IF(C587&lt;&gt;"",VLOOKUP(C587,'Dummy Table'!$B$3:$D$30,3,FALSE),"")</f>
        <v>Red Bull</v>
      </c>
      <c r="F587" s="50">
        <v>2</v>
      </c>
      <c r="K587" s="71"/>
      <c r="M587" s="130"/>
      <c r="N587" s="130"/>
      <c r="O587" s="130"/>
    </row>
    <row r="588" spans="1:26" x14ac:dyDescent="0.2">
      <c r="B588" s="60">
        <f>$J$9</f>
        <v>8</v>
      </c>
      <c r="C588" s="48" t="s">
        <v>336</v>
      </c>
      <c r="D588" s="49" t="str">
        <f>IF(C588&lt;&gt;"",VLOOKUP(C588,'Dummy Table'!$B$3:$C$30,2,FALSE),"")</f>
        <v>Itália</v>
      </c>
      <c r="E588" s="49" t="str">
        <f>IF(C588&lt;&gt;"",VLOOKUP(C588,'Dummy Table'!$B$3:$D$30,3,FALSE),"")</f>
        <v>Mercedes</v>
      </c>
      <c r="F588" s="50">
        <v>1</v>
      </c>
      <c r="K588" s="71"/>
      <c r="M588" s="130"/>
      <c r="N588" s="130"/>
      <c r="O588" s="130"/>
    </row>
    <row r="589" spans="1:26" s="79" customFormat="1" x14ac:dyDescent="0.2">
      <c r="A589" s="62"/>
      <c r="B589" s="60">
        <f>$J$10</f>
        <v>9</v>
      </c>
      <c r="C589" s="48" t="s">
        <v>335</v>
      </c>
      <c r="D589" s="49" t="str">
        <f>IF(C589&lt;&gt;"",VLOOKUP(C589,'Dummy Table'!$B$3:$C$30,2,FALSE),"")</f>
        <v>Austrália</v>
      </c>
      <c r="E589" s="49" t="str">
        <f>IF(C589&lt;&gt;"",VLOOKUP(C589,'Dummy Table'!$B$3:$D$30,3,FALSE),"")</f>
        <v>Racing Bulls</v>
      </c>
      <c r="F589" s="50"/>
      <c r="G589" s="66"/>
      <c r="H589" s="66"/>
      <c r="I589" s="66"/>
      <c r="J589" s="73"/>
      <c r="K589" s="71"/>
      <c r="L589" s="78"/>
      <c r="M589" s="130"/>
      <c r="N589" s="130"/>
      <c r="O589" s="130"/>
      <c r="P589" s="68"/>
      <c r="Q589" s="68"/>
      <c r="R589" s="68"/>
      <c r="S589" s="78"/>
      <c r="T589" s="78"/>
      <c r="U589" s="78"/>
      <c r="V589" s="78"/>
      <c r="W589" s="78"/>
      <c r="X589" s="78"/>
      <c r="Y589" s="78"/>
      <c r="Z589" s="78"/>
    </row>
    <row r="590" spans="1:26" x14ac:dyDescent="0.2">
      <c r="B590" s="60">
        <f>$J$11</f>
        <v>10</v>
      </c>
      <c r="C590" s="48" t="s">
        <v>312</v>
      </c>
      <c r="D590" s="49" t="str">
        <f>IF(C590&lt;&gt;"",VLOOKUP(C590,'Dummy Table'!$B$3:$C$30,2,FALSE),"")</f>
        <v>França</v>
      </c>
      <c r="E590" s="49" t="str">
        <f>IF(C590&lt;&gt;"",VLOOKUP(C590,'Dummy Table'!$B$3:$D$30,3,FALSE),"")</f>
        <v>Alpine</v>
      </c>
      <c r="F590" s="50"/>
      <c r="K590" s="71"/>
      <c r="M590" s="130"/>
      <c r="N590" s="130"/>
      <c r="O590" s="130"/>
    </row>
    <row r="591" spans="1:26" x14ac:dyDescent="0.2">
      <c r="B591" s="60">
        <f>$J$12</f>
        <v>11</v>
      </c>
      <c r="C591" s="48" t="s">
        <v>344</v>
      </c>
      <c r="D591" s="49" t="str">
        <f>IF(C591&lt;&gt;"",VLOOKUP(C591,'Dummy Table'!$B$3:$C$30,2,FALSE),"")</f>
        <v>Brasil</v>
      </c>
      <c r="E591" s="49" t="str">
        <f>IF(C591&lt;&gt;"",VLOOKUP(C591,'Dummy Table'!$B$3:$D$30,3,FALSE),"")</f>
        <v>Kick Sauber</v>
      </c>
      <c r="F591" s="51"/>
      <c r="K591" s="71"/>
      <c r="M591" s="130"/>
      <c r="N591" s="130"/>
      <c r="O591" s="130"/>
    </row>
    <row r="592" spans="1:26" x14ac:dyDescent="0.2">
      <c r="B592" s="60">
        <f>$J$13</f>
        <v>12</v>
      </c>
      <c r="C592" s="48" t="s">
        <v>341</v>
      </c>
      <c r="D592" s="49" t="str">
        <f>IF(C592&lt;&gt;"",VLOOKUP(C592,'Dummy Table'!$B$3:$C$30,2,FALSE),"")</f>
        <v>França</v>
      </c>
      <c r="E592" s="49" t="str">
        <f>IF(C592&lt;&gt;"",VLOOKUP(C592,'Dummy Table'!$B$3:$D$30,3,FALSE),"")</f>
        <v>Racing Bulls</v>
      </c>
      <c r="F592" s="51"/>
      <c r="K592" s="71"/>
      <c r="M592" s="130"/>
      <c r="N592" s="130"/>
      <c r="O592" s="130"/>
    </row>
    <row r="593" spans="1:24" x14ac:dyDescent="0.2">
      <c r="B593" s="60">
        <f>$J$14</f>
        <v>13</v>
      </c>
      <c r="C593" s="48" t="s">
        <v>257</v>
      </c>
      <c r="D593" s="49" t="str">
        <f>IF(C593&lt;&gt;"",VLOOKUP(C593,'Dummy Table'!$B$3:$C$30,2,FALSE),"")</f>
        <v>Alemanha</v>
      </c>
      <c r="E593" s="49" t="str">
        <f>IF(C593&lt;&gt;"",VLOOKUP(C593,'Dummy Table'!$B$3:$D$30,3,FALSE),"")</f>
        <v>Kick Sauber</v>
      </c>
      <c r="F593" s="51"/>
      <c r="G593" s="72"/>
      <c r="H593" s="72"/>
      <c r="I593" s="72"/>
      <c r="K593" s="71"/>
      <c r="M593" s="130"/>
      <c r="N593" s="130"/>
      <c r="O593" s="130"/>
    </row>
    <row r="594" spans="1:24" x14ac:dyDescent="0.2">
      <c r="B594" s="60">
        <f>$J$15</f>
        <v>14</v>
      </c>
      <c r="C594" s="48" t="s">
        <v>400</v>
      </c>
      <c r="D594" s="49" t="str">
        <f>IF(C594&lt;&gt;"",VLOOKUP(C594,'Dummy Table'!$B$3:$C$30,2,FALSE),"")</f>
        <v>Argentina</v>
      </c>
      <c r="E594" s="49" t="str">
        <f>IF(C594&lt;&gt;"",VLOOKUP(C594,'Dummy Table'!$B$3:$D$30,3,FALSE),"")</f>
        <v>Alpine</v>
      </c>
      <c r="F594" s="51"/>
      <c r="G594" s="72"/>
      <c r="H594" s="72"/>
      <c r="I594" s="72"/>
      <c r="K594" s="71"/>
      <c r="M594" s="83"/>
      <c r="N594" s="83"/>
      <c r="O594" s="83"/>
      <c r="P594" s="78"/>
      <c r="Q594" s="78"/>
      <c r="R594" s="78"/>
    </row>
    <row r="595" spans="1:24" x14ac:dyDescent="0.2">
      <c r="B595" s="60">
        <f>$J$16</f>
        <v>15</v>
      </c>
      <c r="C595" s="48" t="s">
        <v>338</v>
      </c>
      <c r="D595" s="49" t="str">
        <f>IF(C595&lt;&gt;"",VLOOKUP(C595,'Dummy Table'!$B$3:$C$30,2,FALSE),"")</f>
        <v>Inglaterra</v>
      </c>
      <c r="E595" s="49" t="str">
        <f>IF(C595&lt;&gt;"",VLOOKUP(C595,'Dummy Table'!$B$3:$D$30,3,FALSE),"")</f>
        <v>Haas</v>
      </c>
      <c r="F595" s="51"/>
      <c r="G595" s="72"/>
      <c r="H595" s="72"/>
      <c r="I595" s="72"/>
      <c r="K595" s="71"/>
      <c r="M595" s="130"/>
      <c r="N595" s="130"/>
      <c r="O595" s="130"/>
    </row>
    <row r="596" spans="1:24" x14ac:dyDescent="0.2">
      <c r="B596" s="60">
        <f>$J$17</f>
        <v>16</v>
      </c>
      <c r="C596" s="48" t="s">
        <v>319</v>
      </c>
      <c r="D596" s="49" t="str">
        <f>IF(C596&lt;&gt;"",VLOOKUP(C596,'Dummy Table'!$B$3:$C$30,2,FALSE),"")</f>
        <v>França</v>
      </c>
      <c r="E596" s="49" t="str">
        <f>IF(C596&lt;&gt;"",VLOOKUP(C596,'Dummy Table'!$B$3:$D$30,3,FALSE),"")</f>
        <v>Haas</v>
      </c>
      <c r="F596" s="51" t="s">
        <v>320</v>
      </c>
      <c r="G596" s="72"/>
      <c r="H596" s="72"/>
      <c r="I596" s="72"/>
      <c r="K596" s="71"/>
      <c r="M596" s="130"/>
      <c r="N596" s="130"/>
      <c r="O596" s="130"/>
    </row>
    <row r="597" spans="1:24" x14ac:dyDescent="0.2">
      <c r="B597" s="60">
        <f>$J$18</f>
        <v>17</v>
      </c>
      <c r="C597" s="48" t="s">
        <v>311</v>
      </c>
      <c r="D597" s="49" t="str">
        <f>IF(C597&lt;&gt;"",VLOOKUP(C597,'Dummy Table'!$B$3:$C$30,2,FALSE),"")</f>
        <v>Canadá</v>
      </c>
      <c r="E597" s="49" t="str">
        <f>IF(C597&lt;&gt;"",VLOOKUP(C597,'Dummy Table'!$B$3:$D$30,3,FALSE),"")</f>
        <v>Aston Martin</v>
      </c>
      <c r="F597" s="51" t="s">
        <v>320</v>
      </c>
      <c r="G597" s="72"/>
      <c r="H597" s="72"/>
      <c r="I597" s="72"/>
      <c r="M597" s="130"/>
      <c r="N597" s="130"/>
      <c r="O597" s="130"/>
    </row>
    <row r="598" spans="1:24" x14ac:dyDescent="0.2">
      <c r="B598" s="60">
        <f>$J$19</f>
        <v>18</v>
      </c>
      <c r="C598" s="48" t="s">
        <v>334</v>
      </c>
      <c r="D598" s="49" t="str">
        <f>IF(C598&lt;&gt;"",VLOOKUP(C598,'Dummy Table'!$B$3:$C$30,2,FALSE),"")</f>
        <v>Austrália</v>
      </c>
      <c r="E598" s="49" t="str">
        <f>IF(C598&lt;&gt;"",VLOOKUP(C598,'Dummy Table'!$B$3:$D$30,3,FALSE),"")</f>
        <v>McLaren 🏆</v>
      </c>
      <c r="F598" s="51" t="s">
        <v>320</v>
      </c>
      <c r="G598" s="72"/>
      <c r="H598" s="72"/>
      <c r="I598" s="72"/>
      <c r="K598" s="78"/>
      <c r="M598" s="130"/>
      <c r="N598" s="130"/>
      <c r="O598" s="130"/>
    </row>
    <row r="599" spans="1:24" x14ac:dyDescent="0.2">
      <c r="B599" s="60">
        <f>$J$20</f>
        <v>19</v>
      </c>
      <c r="C599" s="48" t="s">
        <v>316</v>
      </c>
      <c r="D599" s="49" t="str">
        <f>IF(C599&lt;&gt;"",VLOOKUP(C599,'Dummy Table'!$B$3:$C$30,2,FALSE),"")</f>
        <v>Inglaterra</v>
      </c>
      <c r="E599" s="49" t="str">
        <f>IF(C599&lt;&gt;"",VLOOKUP(C599,'Dummy Table'!$B$3:$D$30,3,FALSE),"")</f>
        <v>McLaren 🏆</v>
      </c>
      <c r="F599" s="51" t="s">
        <v>320</v>
      </c>
      <c r="G599" s="72"/>
      <c r="H599" s="72"/>
      <c r="I599" s="72"/>
      <c r="M599" s="130"/>
      <c r="N599" s="130"/>
      <c r="O599" s="130"/>
    </row>
    <row r="600" spans="1:24" x14ac:dyDescent="0.2">
      <c r="B600" s="60">
        <f>$J$21</f>
        <v>20</v>
      </c>
      <c r="C600" s="48" t="s">
        <v>30</v>
      </c>
      <c r="D600" s="49" t="str">
        <f>IF(C600&lt;&gt;"",VLOOKUP(C600,'Dummy Table'!$B$3:$C$30,2,FALSE),"")</f>
        <v>Espanha</v>
      </c>
      <c r="E600" s="49" t="str">
        <f>IF(C600&lt;&gt;"",VLOOKUP(C600,'Dummy Table'!$B$3:$D$30,3,FALSE),"")</f>
        <v>Aston Martin</v>
      </c>
      <c r="F600" s="51" t="s">
        <v>320</v>
      </c>
      <c r="G600" s="72"/>
      <c r="H600" s="72"/>
      <c r="I600" s="72"/>
      <c r="K600" s="71"/>
      <c r="M600" s="130"/>
      <c r="N600" s="130"/>
      <c r="O600" s="130"/>
    </row>
    <row r="601" spans="1:24" hidden="1" x14ac:dyDescent="0.2">
      <c r="B601" s="60"/>
      <c r="C601" s="48"/>
      <c r="D601" s="49"/>
      <c r="E601" s="49"/>
      <c r="F601" s="51"/>
      <c r="G601" s="72"/>
      <c r="H601" s="72"/>
      <c r="I601" s="72"/>
      <c r="K601" s="71"/>
      <c r="M601" s="130"/>
      <c r="N601" s="130"/>
      <c r="O601" s="130"/>
    </row>
    <row r="602" spans="1:24" x14ac:dyDescent="0.2">
      <c r="B602" s="134"/>
      <c r="C602" s="136" t="s">
        <v>397</v>
      </c>
      <c r="D602" s="135"/>
      <c r="E602" s="135"/>
      <c r="F602" s="135"/>
      <c r="G602" s="72"/>
      <c r="H602" s="72"/>
      <c r="I602" s="72"/>
      <c r="K602" s="82"/>
      <c r="M602" s="74"/>
      <c r="N602" s="74"/>
      <c r="O602" s="74"/>
      <c r="P602" s="74"/>
      <c r="Q602" s="74"/>
      <c r="R602" s="74"/>
      <c r="S602" s="74"/>
      <c r="T602" s="74"/>
      <c r="V602" s="68"/>
      <c r="W602" s="68"/>
      <c r="X602" s="68"/>
    </row>
    <row r="603" spans="1:24" s="66" customFormat="1" x14ac:dyDescent="0.2">
      <c r="A603" s="62"/>
      <c r="B603" s="61" t="s">
        <v>14</v>
      </c>
      <c r="C603" s="61" t="s">
        <v>29</v>
      </c>
      <c r="D603" s="61" t="s">
        <v>16</v>
      </c>
      <c r="E603" s="61" t="s">
        <v>17</v>
      </c>
      <c r="F603" s="61" t="s">
        <v>18</v>
      </c>
      <c r="J603" s="67"/>
      <c r="M603" s="84"/>
      <c r="N603" s="84"/>
      <c r="O603" s="84"/>
    </row>
    <row r="604" spans="1:24" s="66" customFormat="1" x14ac:dyDescent="0.2">
      <c r="A604" s="62"/>
      <c r="B604" s="59">
        <f>$J$2</f>
        <v>1</v>
      </c>
      <c r="C604" s="48" t="s">
        <v>305</v>
      </c>
      <c r="D604" s="49" t="str">
        <f>IF(C604&lt;&gt;"",VLOOKUP(C604,'Dummy Table'!$B$3:$C$30,2,FALSE),"")</f>
        <v>Holanda</v>
      </c>
      <c r="E604" s="49" t="str">
        <f>IF(C604&lt;&gt;"",VLOOKUP(C604,'Dummy Table'!$B$3:$D$30,3,FALSE),"")</f>
        <v>Red Bull</v>
      </c>
      <c r="F604" s="50">
        <v>25</v>
      </c>
      <c r="G604" s="66">
        <f>IF(C604="",F604,0)</f>
        <v>0</v>
      </c>
      <c r="H604" s="66">
        <f>IF(C604="",F604,0)</f>
        <v>0</v>
      </c>
      <c r="I604" s="66">
        <f>IF(C604="",1,0)</f>
        <v>0</v>
      </c>
      <c r="J604" s="67"/>
      <c r="M604" s="84"/>
      <c r="N604" s="84"/>
      <c r="O604" s="84"/>
    </row>
    <row r="605" spans="1:24" s="66" customFormat="1" x14ac:dyDescent="0.2">
      <c r="A605" s="62"/>
      <c r="B605" s="60">
        <f>$J$3</f>
        <v>2</v>
      </c>
      <c r="C605" s="48" t="s">
        <v>316</v>
      </c>
      <c r="D605" s="49" t="str">
        <f>IF(C605&lt;&gt;"",VLOOKUP(C605,'Dummy Table'!$B$3:$C$30,2,FALSE),"")</f>
        <v>Inglaterra</v>
      </c>
      <c r="E605" s="49" t="str">
        <f>IF(C605&lt;&gt;"",VLOOKUP(C605,'Dummy Table'!$B$3:$D$30,3,FALSE),"")</f>
        <v>McLaren 🏆</v>
      </c>
      <c r="F605" s="50">
        <v>18</v>
      </c>
      <c r="H605" s="66">
        <f>IF(C605="",F605,0)</f>
        <v>0</v>
      </c>
      <c r="J605" s="67"/>
      <c r="M605" s="84"/>
      <c r="N605" s="84"/>
      <c r="O605" s="84"/>
    </row>
    <row r="606" spans="1:24" s="66" customFormat="1" x14ac:dyDescent="0.2">
      <c r="A606" s="62"/>
      <c r="B606" s="60">
        <f>$J$4</f>
        <v>3</v>
      </c>
      <c r="C606" s="48" t="s">
        <v>313</v>
      </c>
      <c r="D606" s="49" t="str">
        <f>IF(C606&lt;&gt;"",VLOOKUP(C606,'Dummy Table'!$B$3:$C$30,2,FALSE),"")</f>
        <v>Mônaco</v>
      </c>
      <c r="E606" s="49" t="str">
        <f>IF(C606&lt;&gt;"",VLOOKUP(C606,'Dummy Table'!$B$3:$D$30,3,FALSE),"")</f>
        <v>Ferrari</v>
      </c>
      <c r="F606" s="50">
        <v>15</v>
      </c>
      <c r="J606" s="67"/>
      <c r="M606" s="84"/>
      <c r="N606" s="84"/>
      <c r="O606" s="84"/>
    </row>
    <row r="607" spans="1:24" s="66" customFormat="1" x14ac:dyDescent="0.2">
      <c r="A607" s="62"/>
      <c r="B607" s="60">
        <f>$J$5</f>
        <v>4</v>
      </c>
      <c r="C607" s="48" t="s">
        <v>1</v>
      </c>
      <c r="D607" s="49" t="str">
        <f>IF(C607&lt;&gt;"",VLOOKUP(C607,'Dummy Table'!$B$3:$C$30,2,FALSE),"")</f>
        <v>Inglaterra</v>
      </c>
      <c r="E607" s="49" t="str">
        <f>IF(C607&lt;&gt;"",VLOOKUP(C607,'Dummy Table'!$B$3:$D$30,3,FALSE),"")</f>
        <v>Ferrari</v>
      </c>
      <c r="F607" s="50">
        <v>12</v>
      </c>
      <c r="J607" s="67"/>
      <c r="M607" s="84"/>
      <c r="N607" s="84"/>
      <c r="O607" s="84"/>
    </row>
    <row r="608" spans="1:24" s="66" customFormat="1" x14ac:dyDescent="0.2">
      <c r="A608" s="62"/>
      <c r="B608" s="60">
        <f>$J$6</f>
        <v>5</v>
      </c>
      <c r="C608" s="48" t="s">
        <v>334</v>
      </c>
      <c r="D608" s="49" t="str">
        <f>IF(C608&lt;&gt;"",VLOOKUP(C608,'Dummy Table'!$B$3:$C$30,2,FALSE),"")</f>
        <v>Austrália</v>
      </c>
      <c r="E608" s="49" t="str">
        <f>IF(C608&lt;&gt;"",VLOOKUP(C608,'Dummy Table'!$B$3:$D$30,3,FALSE),"")</f>
        <v>McLaren 🏆</v>
      </c>
      <c r="F608" s="50">
        <v>10</v>
      </c>
      <c r="J608" s="67"/>
      <c r="M608" s="84"/>
      <c r="N608" s="84"/>
      <c r="O608" s="84"/>
    </row>
    <row r="609" spans="1:15" s="66" customFormat="1" x14ac:dyDescent="0.2">
      <c r="A609" s="62"/>
      <c r="B609" s="60">
        <f>$J$7</f>
        <v>6</v>
      </c>
      <c r="C609" s="48" t="s">
        <v>394</v>
      </c>
      <c r="D609" s="49" t="str">
        <f>IF(C609&lt;&gt;"",VLOOKUP(C609,'Dummy Table'!$B$3:$C$30,2,FALSE),"")</f>
        <v>Inglaterra</v>
      </c>
      <c r="E609" s="49" t="str">
        <f>IF(C609&lt;&gt;"",VLOOKUP(C609,'Dummy Table'!$B$3:$D$30,3,FALSE),"")</f>
        <v>Mercedes</v>
      </c>
      <c r="F609" s="50">
        <v>8</v>
      </c>
      <c r="J609" s="67"/>
      <c r="M609" s="84"/>
      <c r="N609" s="84"/>
      <c r="O609" s="84"/>
    </row>
    <row r="610" spans="1:15" s="66" customFormat="1" x14ac:dyDescent="0.2">
      <c r="A610" s="62"/>
      <c r="B610" s="60">
        <f>$J$8</f>
        <v>7</v>
      </c>
      <c r="C610" s="48" t="s">
        <v>339</v>
      </c>
      <c r="D610" s="49" t="str">
        <f>IF(C610&lt;&gt;"",VLOOKUP(C610,'Dummy Table'!$B$3:$C$30,2,FALSE),"")</f>
        <v>Japão</v>
      </c>
      <c r="E610" s="49" t="str">
        <f>IF(C610&lt;&gt;"",VLOOKUP(C610,'Dummy Table'!$B$3:$D$30,3,FALSE),"")</f>
        <v>Red Bull</v>
      </c>
      <c r="F610" s="50">
        <v>6</v>
      </c>
      <c r="J610" s="67"/>
      <c r="M610" s="84"/>
      <c r="N610" s="84"/>
      <c r="O610" s="84"/>
    </row>
    <row r="611" spans="1:15" s="66" customFormat="1" x14ac:dyDescent="0.2">
      <c r="A611" s="62"/>
      <c r="B611" s="60">
        <f>$J$9</f>
        <v>8</v>
      </c>
      <c r="C611" s="48" t="s">
        <v>257</v>
      </c>
      <c r="D611" s="49" t="str">
        <f>IF(C611&lt;&gt;"",VLOOKUP(C611,'Dummy Table'!$B$3:$C$30,2,FALSE),"")</f>
        <v>Alemanha</v>
      </c>
      <c r="E611" s="49" t="str">
        <f>IF(C611&lt;&gt;"",VLOOKUP(C611,'Dummy Table'!$B$3:$D$30,3,FALSE),"")</f>
        <v>Kick Sauber</v>
      </c>
      <c r="F611" s="50">
        <v>4</v>
      </c>
      <c r="J611" s="67"/>
      <c r="M611" s="84"/>
      <c r="N611" s="84"/>
      <c r="O611" s="84"/>
    </row>
    <row r="612" spans="1:15" s="66" customFormat="1" x14ac:dyDescent="0.2">
      <c r="A612" s="62"/>
      <c r="B612" s="60">
        <f>$J$10</f>
        <v>9</v>
      </c>
      <c r="C612" s="48" t="s">
        <v>338</v>
      </c>
      <c r="D612" s="49" t="str">
        <f>IF(C612&lt;&gt;"",VLOOKUP(C612,'Dummy Table'!$B$3:$C$30,2,FALSE),"")</f>
        <v>Inglaterra</v>
      </c>
      <c r="E612" s="49" t="str">
        <f>IF(C612&lt;&gt;"",VLOOKUP(C612,'Dummy Table'!$B$3:$D$30,3,FALSE),"")</f>
        <v>Haas</v>
      </c>
      <c r="F612" s="50">
        <v>2</v>
      </c>
      <c r="J612" s="67"/>
      <c r="M612" s="84"/>
      <c r="N612" s="84"/>
      <c r="O612" s="84"/>
    </row>
    <row r="613" spans="1:15" s="66" customFormat="1" x14ac:dyDescent="0.2">
      <c r="A613" s="62"/>
      <c r="B613" s="60">
        <f>$J$11</f>
        <v>10</v>
      </c>
      <c r="C613" s="48" t="s">
        <v>30</v>
      </c>
      <c r="D613" s="49" t="str">
        <f>IF(C613&lt;&gt;"",VLOOKUP(C613,'Dummy Table'!$B$3:$C$30,2,FALSE),"")</f>
        <v>Espanha</v>
      </c>
      <c r="E613" s="49" t="str">
        <f>IF(C613&lt;&gt;"",VLOOKUP(C613,'Dummy Table'!$B$3:$D$30,3,FALSE),"")</f>
        <v>Aston Martin</v>
      </c>
      <c r="F613" s="50">
        <v>1</v>
      </c>
      <c r="J613" s="67"/>
      <c r="M613" s="84"/>
      <c r="N613" s="84"/>
      <c r="O613" s="84"/>
    </row>
    <row r="614" spans="1:15" s="66" customFormat="1" x14ac:dyDescent="0.2">
      <c r="A614" s="62"/>
      <c r="B614" s="60">
        <f>$J$12</f>
        <v>11</v>
      </c>
      <c r="C614" s="48" t="s">
        <v>335</v>
      </c>
      <c r="D614" s="49" t="str">
        <f>IF(C614&lt;&gt;"",VLOOKUP(C614,'Dummy Table'!$B$3:$C$30,2,FALSE),"")</f>
        <v>Austrália</v>
      </c>
      <c r="E614" s="49" t="str">
        <f>IF(C614&lt;&gt;"",VLOOKUP(C614,'Dummy Table'!$B$3:$D$30,3,FALSE),"")</f>
        <v>Racing Bulls</v>
      </c>
      <c r="F614" s="51"/>
      <c r="J614" s="67"/>
      <c r="M614" s="84"/>
      <c r="N614" s="84"/>
      <c r="O614" s="84"/>
    </row>
    <row r="615" spans="1:15" s="66" customFormat="1" x14ac:dyDescent="0.2">
      <c r="A615" s="62"/>
      <c r="B615" s="60">
        <f>$J$13</f>
        <v>12</v>
      </c>
      <c r="C615" s="48" t="s">
        <v>311</v>
      </c>
      <c r="D615" s="49" t="str">
        <f>IF(C615&lt;&gt;"",VLOOKUP(C615,'Dummy Table'!$B$3:$C$30,2,FALSE),"")</f>
        <v>Canadá</v>
      </c>
      <c r="E615" s="49" t="str">
        <f>IF(C615&lt;&gt;"",VLOOKUP(C615,'Dummy Table'!$B$3:$D$30,3,FALSE),"")</f>
        <v>Aston Martin</v>
      </c>
      <c r="F615" s="51"/>
      <c r="J615" s="67"/>
      <c r="M615" s="84"/>
      <c r="N615" s="84"/>
      <c r="O615" s="84"/>
    </row>
    <row r="616" spans="1:15" s="66" customFormat="1" x14ac:dyDescent="0.2">
      <c r="A616" s="62"/>
      <c r="B616" s="60">
        <f>$J$14</f>
        <v>13</v>
      </c>
      <c r="C616" s="48" t="s">
        <v>336</v>
      </c>
      <c r="D616" s="49" t="str">
        <f>IF(C616&lt;&gt;"",VLOOKUP(C616,'Dummy Table'!$B$3:$C$30,2,FALSE),"")</f>
        <v>Itália</v>
      </c>
      <c r="E616" s="49" t="str">
        <f>IF(C616&lt;&gt;"",VLOOKUP(C616,'Dummy Table'!$B$3:$D$30,3,FALSE),"")</f>
        <v>Mercedes</v>
      </c>
      <c r="F616" s="51"/>
      <c r="G616" s="72"/>
      <c r="H616" s="72"/>
      <c r="I616" s="72"/>
      <c r="J616" s="67"/>
      <c r="M616" s="84"/>
      <c r="N616" s="84"/>
      <c r="O616" s="84"/>
    </row>
    <row r="617" spans="1:15" s="66" customFormat="1" x14ac:dyDescent="0.2">
      <c r="A617" s="62"/>
      <c r="B617" s="60">
        <f>$J$15</f>
        <v>14</v>
      </c>
      <c r="C617" s="48" t="s">
        <v>315</v>
      </c>
      <c r="D617" s="49" t="str">
        <f>IF(C617&lt;&gt;"",VLOOKUP(C617,'Dummy Table'!$B$3:$C$30,2,FALSE),"")</f>
        <v>Tailandia</v>
      </c>
      <c r="E617" s="49" t="str">
        <f>IF(C617&lt;&gt;"",VLOOKUP(C617,'Dummy Table'!$B$3:$D$30,3,FALSE),"")</f>
        <v>Williams</v>
      </c>
      <c r="F617" s="51"/>
      <c r="G617" s="72"/>
      <c r="H617" s="72"/>
      <c r="I617" s="72"/>
      <c r="J617" s="67"/>
      <c r="M617" s="84"/>
      <c r="N617" s="84"/>
      <c r="O617" s="84"/>
    </row>
    <row r="618" spans="1:15" s="66" customFormat="1" x14ac:dyDescent="0.2">
      <c r="A618" s="62"/>
      <c r="B618" s="60">
        <f>$J$16</f>
        <v>15</v>
      </c>
      <c r="C618" s="48" t="s">
        <v>319</v>
      </c>
      <c r="D618" s="49" t="str">
        <f>IF(C618&lt;&gt;"",VLOOKUP(C618,'Dummy Table'!$B$3:$C$30,2,FALSE),"")</f>
        <v>França</v>
      </c>
      <c r="E618" s="49" t="str">
        <f>IF(C618&lt;&gt;"",VLOOKUP(C618,'Dummy Table'!$B$3:$D$30,3,FALSE),"")</f>
        <v>Haas</v>
      </c>
      <c r="F618" s="51"/>
      <c r="G618" s="72"/>
      <c r="H618" s="72"/>
      <c r="I618" s="72"/>
      <c r="J618" s="67"/>
      <c r="M618" s="84"/>
      <c r="N618" s="84"/>
      <c r="O618" s="84"/>
    </row>
    <row r="619" spans="1:15" s="66" customFormat="1" x14ac:dyDescent="0.2">
      <c r="A619" s="62"/>
      <c r="B619" s="60">
        <f>$J$17</f>
        <v>16</v>
      </c>
      <c r="C619" s="48" t="s">
        <v>341</v>
      </c>
      <c r="D619" s="49" t="str">
        <f>IF(C619&lt;&gt;"",VLOOKUP(C619,'Dummy Table'!$B$3:$C$30,2,FALSE),"")</f>
        <v>França</v>
      </c>
      <c r="E619" s="49" t="str">
        <f>IF(C619&lt;&gt;"",VLOOKUP(C619,'Dummy Table'!$B$3:$D$30,3,FALSE),"")</f>
        <v>Racing Bulls</v>
      </c>
      <c r="F619" s="51"/>
      <c r="G619" s="72"/>
      <c r="H619" s="72"/>
      <c r="I619" s="72"/>
      <c r="J619" s="67"/>
      <c r="M619" s="84"/>
      <c r="N619" s="84"/>
      <c r="O619" s="84"/>
    </row>
    <row r="620" spans="1:15" s="66" customFormat="1" x14ac:dyDescent="0.2">
      <c r="A620" s="62"/>
      <c r="B620" s="60">
        <f>$J$18</f>
        <v>17</v>
      </c>
      <c r="C620" s="48" t="s">
        <v>400</v>
      </c>
      <c r="D620" s="49" t="str">
        <f>IF(C620&lt;&gt;"",VLOOKUP(C620,'Dummy Table'!$B$3:$C$30,2,FALSE),"")</f>
        <v>Argentina</v>
      </c>
      <c r="E620" s="49" t="str">
        <f>IF(C620&lt;&gt;"",VLOOKUP(C620,'Dummy Table'!$B$3:$D$30,3,FALSE),"")</f>
        <v>Alpine</v>
      </c>
      <c r="F620" s="51"/>
      <c r="G620" s="72"/>
      <c r="H620" s="72"/>
      <c r="I620" s="72"/>
      <c r="J620" s="67"/>
      <c r="M620" s="84"/>
      <c r="N620" s="84"/>
      <c r="O620" s="84"/>
    </row>
    <row r="621" spans="1:15" s="66" customFormat="1" x14ac:dyDescent="0.2">
      <c r="A621" s="62"/>
      <c r="B621" s="60">
        <f>$J$19</f>
        <v>18</v>
      </c>
      <c r="C621" s="48" t="s">
        <v>344</v>
      </c>
      <c r="D621" s="49" t="str">
        <f>IF(C621&lt;&gt;"",VLOOKUP(C621,'Dummy Table'!$B$3:$C$30,2,FALSE),"")</f>
        <v>Brasil</v>
      </c>
      <c r="E621" s="49" t="str">
        <f>IF(C621&lt;&gt;"",VLOOKUP(C621,'Dummy Table'!$B$3:$D$30,3,FALSE),"")</f>
        <v>Kick Sauber</v>
      </c>
      <c r="F621" s="51"/>
      <c r="G621" s="72"/>
      <c r="H621" s="72"/>
      <c r="I621" s="72"/>
      <c r="J621" s="67"/>
      <c r="M621" s="84"/>
      <c r="N621" s="84"/>
      <c r="O621" s="84"/>
    </row>
    <row r="622" spans="1:15" s="66" customFormat="1" x14ac:dyDescent="0.2">
      <c r="A622" s="62"/>
      <c r="B622" s="60">
        <f>$J$20</f>
        <v>19</v>
      </c>
      <c r="C622" s="48" t="s">
        <v>312</v>
      </c>
      <c r="D622" s="49" t="str">
        <f>IF(C622&lt;&gt;"",VLOOKUP(C622,'Dummy Table'!$B$3:$C$30,2,FALSE),"")</f>
        <v>França</v>
      </c>
      <c r="E622" s="49" t="str">
        <f>IF(C622&lt;&gt;"",VLOOKUP(C622,'Dummy Table'!$B$3:$D$30,3,FALSE),"")</f>
        <v>Alpine</v>
      </c>
      <c r="F622" s="51"/>
      <c r="G622" s="72"/>
      <c r="H622" s="72"/>
      <c r="I622" s="72"/>
      <c r="J622" s="67"/>
      <c r="M622" s="84"/>
      <c r="N622" s="84"/>
      <c r="O622" s="84"/>
    </row>
    <row r="623" spans="1:15" s="66" customFormat="1" x14ac:dyDescent="0.2">
      <c r="A623" s="62"/>
      <c r="B623" s="60">
        <f>$J$21</f>
        <v>20</v>
      </c>
      <c r="C623" s="48" t="s">
        <v>343</v>
      </c>
      <c r="D623" s="49" t="str">
        <f>IF(C623&lt;&gt;"",VLOOKUP(C623,'Dummy Table'!$B$3:$C$30,2,FALSE),"")</f>
        <v>Espanha</v>
      </c>
      <c r="E623" s="49" t="str">
        <f>IF(C623&lt;&gt;"",VLOOKUP(C623,'Dummy Table'!$B$3:$D$30,3,FALSE),"")</f>
        <v>Williams</v>
      </c>
      <c r="F623" s="51" t="s">
        <v>320</v>
      </c>
      <c r="G623" s="72"/>
      <c r="H623" s="72"/>
      <c r="I623" s="72"/>
      <c r="J623" s="67"/>
      <c r="M623" s="84"/>
      <c r="N623" s="84"/>
      <c r="O623" s="84"/>
    </row>
    <row r="624" spans="1:15" s="66" customFormat="1" hidden="1" x14ac:dyDescent="0.2">
      <c r="A624" s="62"/>
      <c r="B624" s="76">
        <f>$J$22</f>
        <v>21</v>
      </c>
      <c r="C624" s="75"/>
      <c r="D624" s="65" t="str">
        <f>IF(C624&lt;&gt;"",VLOOKUP(C624,'Dummy Table'!$B$3:$C$30,2,FALSE),"")</f>
        <v/>
      </c>
      <c r="E624" s="65" t="str">
        <f>IF(C624&lt;&gt;"",VLOOKUP(C624,'Dummy Table'!$B$3:$D$30,3,FALSE),"")</f>
        <v/>
      </c>
      <c r="F624" s="77"/>
      <c r="G624" s="72"/>
      <c r="H624" s="72"/>
      <c r="I624" s="72"/>
      <c r="J624" s="67"/>
      <c r="M624" s="84"/>
      <c r="N624" s="84"/>
      <c r="O624" s="84"/>
    </row>
    <row r="625" spans="1:15" s="66" customFormat="1" hidden="1" x14ac:dyDescent="0.2">
      <c r="A625" s="62"/>
      <c r="B625" s="76" t="str">
        <f>$J$23</f>
        <v/>
      </c>
      <c r="C625" s="75"/>
      <c r="D625" s="65" t="str">
        <f>IF(C625&lt;&gt;"",VLOOKUP(C625,'Dummy Table'!$B$3:$C$30,2,FALSE),"")</f>
        <v/>
      </c>
      <c r="E625" s="65" t="str">
        <f>IF(C625&lt;&gt;"",VLOOKUP(C625,'Dummy Table'!$B$3:$D$30,3,FALSE),"")</f>
        <v/>
      </c>
      <c r="F625" s="80"/>
      <c r="G625" s="72"/>
      <c r="H625" s="72"/>
      <c r="I625" s="72"/>
      <c r="J625" s="67"/>
      <c r="M625" s="84"/>
      <c r="N625" s="84"/>
      <c r="O625" s="84"/>
    </row>
    <row r="626" spans="1:15" s="66" customFormat="1" hidden="1" x14ac:dyDescent="0.2">
      <c r="A626" s="62"/>
      <c r="B626" s="76" t="str">
        <f>IF(F626="",$J$24,"Ret")</f>
        <v/>
      </c>
      <c r="C626" s="75"/>
      <c r="D626" s="65" t="str">
        <f>IF(C626&lt;&gt;"",VLOOKUP(C626,'Dummy Table'!$B$3:$C$30,2,FALSE),"")</f>
        <v/>
      </c>
      <c r="E626" s="65" t="str">
        <f>IF(C626&lt;&gt;"",VLOOKUP(C626,'Dummy Table'!$B$3:$D$30,3,FALSE),"")</f>
        <v/>
      </c>
      <c r="F626" s="81"/>
      <c r="G626" s="72"/>
      <c r="H626" s="72"/>
      <c r="I626" s="72"/>
      <c r="J626" s="67"/>
      <c r="M626" s="84"/>
      <c r="N626" s="84"/>
      <c r="O626" s="84"/>
    </row>
    <row r="627" spans="1:15" s="66" customFormat="1" hidden="1" x14ac:dyDescent="0.2">
      <c r="A627" s="62"/>
      <c r="B627" s="76" t="str">
        <f>IF(F627="",$J$25,"Ret")</f>
        <v/>
      </c>
      <c r="C627" s="75"/>
      <c r="D627" s="65" t="str">
        <f>IF(C627&lt;&gt;"",VLOOKUP(C627,'Dummy Table'!$B$3:$C$30,2,FALSE),"")</f>
        <v/>
      </c>
      <c r="E627" s="65" t="str">
        <f>IF(C627&lt;&gt;"",VLOOKUP(C627,'Dummy Table'!$B$3:$D$30,3,FALSE),"")</f>
        <v/>
      </c>
      <c r="F627" s="81"/>
      <c r="G627" s="72"/>
      <c r="H627" s="72"/>
      <c r="I627" s="72"/>
      <c r="J627" s="67"/>
      <c r="M627" s="84"/>
      <c r="N627" s="84"/>
      <c r="O627" s="84"/>
    </row>
    <row r="628" spans="1:15" s="66" customFormat="1" x14ac:dyDescent="0.2">
      <c r="A628" s="62"/>
      <c r="B628" s="52" t="s">
        <v>248</v>
      </c>
      <c r="C628" s="53" t="s">
        <v>305</v>
      </c>
      <c r="D628" s="54" t="str">
        <f>IF(C628&lt;&gt;"",VLOOKUP(C628,'Dummy Table'!$B$3:$C$30,2,FALSE),"")</f>
        <v>Holanda</v>
      </c>
      <c r="E628" s="54" t="str">
        <f>IF(C628&lt;&gt;"",VLOOKUP(C628,'Dummy Table'!$B$3:$D$30,3,FALSE),"")</f>
        <v>Red Bull</v>
      </c>
      <c r="F628" s="55"/>
      <c r="H628" s="72"/>
      <c r="J628" s="67"/>
      <c r="M628" s="84"/>
      <c r="N628" s="84"/>
      <c r="O628" s="84"/>
    </row>
    <row r="629" spans="1:15" s="66" customFormat="1" x14ac:dyDescent="0.2">
      <c r="A629" s="62"/>
      <c r="B629" s="56" t="s">
        <v>238</v>
      </c>
      <c r="C629" s="57" t="s">
        <v>336</v>
      </c>
      <c r="D629" s="54" t="str">
        <f>IF(C629&lt;&gt;"",VLOOKUP(C629,'Dummy Table'!$B$3:$C$30,2,FALSE),"")</f>
        <v>Itália</v>
      </c>
      <c r="E629" s="54" t="str">
        <f>IF(C629&lt;&gt;"",VLOOKUP(C629,'Dummy Table'!$B$3:$D$30,3,FALSE),"")</f>
        <v>Mercedes</v>
      </c>
      <c r="F629" s="58"/>
      <c r="H629" s="66">
        <f>IF(C629="",F629,0)</f>
        <v>0</v>
      </c>
      <c r="J629" s="67"/>
      <c r="M629" s="84"/>
      <c r="N629" s="84"/>
      <c r="O629" s="84"/>
    </row>
    <row r="630" spans="1:15" s="66" customFormat="1" x14ac:dyDescent="0.2">
      <c r="A630" s="62">
        <v>20</v>
      </c>
      <c r="B630" s="129">
        <f>VLOOKUP($A630,'Calendário atual'!$A$2:$E$30,2,FALSE)</f>
        <v>45956</v>
      </c>
      <c r="C630" s="162" t="str">
        <f>VLOOKUP($A630,'Calendário atual'!$A$2:$E$30,4,FALSE)</f>
        <v>FORMULA 1  GRAN PREMIO DE LA CIUDAD DE MÉXICO 2025</v>
      </c>
      <c r="D630" s="162"/>
      <c r="E630" s="162"/>
      <c r="F630" s="129" t="str">
        <f>VLOOKUP($A630,'Calendário atual'!$A$2:$E$30,3,FALSE)</f>
        <v>México</v>
      </c>
      <c r="G630" s="72"/>
      <c r="H630" s="72"/>
      <c r="I630" s="72"/>
      <c r="J630" s="67"/>
      <c r="M630" s="84"/>
      <c r="N630" s="84"/>
      <c r="O630" s="84"/>
    </row>
    <row r="631" spans="1:15" s="66" customFormat="1" x14ac:dyDescent="0.2">
      <c r="A631" s="62"/>
      <c r="B631" s="61" t="s">
        <v>14</v>
      </c>
      <c r="C631" s="61" t="s">
        <v>29</v>
      </c>
      <c r="D631" s="61" t="s">
        <v>16</v>
      </c>
      <c r="E631" s="61" t="s">
        <v>17</v>
      </c>
      <c r="F631" s="61" t="s">
        <v>18</v>
      </c>
      <c r="J631" s="67"/>
      <c r="M631" s="84"/>
      <c r="N631" s="84"/>
      <c r="O631" s="84"/>
    </row>
    <row r="632" spans="1:15" s="66" customFormat="1" x14ac:dyDescent="0.2">
      <c r="A632" s="62"/>
      <c r="B632" s="59">
        <f>$J$2</f>
        <v>1</v>
      </c>
      <c r="C632" s="48" t="s">
        <v>316</v>
      </c>
      <c r="D632" s="49" t="str">
        <f>IF(C632&lt;&gt;"",VLOOKUP(C632,'Dummy Table'!$B$3:$C$30,2,FALSE),"")</f>
        <v>Inglaterra</v>
      </c>
      <c r="E632" s="49" t="str">
        <f>IF(C632&lt;&gt;"",VLOOKUP(C632,'Dummy Table'!$B$3:$D$30,3,FALSE),"")</f>
        <v>McLaren 🏆</v>
      </c>
      <c r="F632" s="50">
        <v>25</v>
      </c>
      <c r="G632" s="66">
        <f>IF(C632="",F632,0)</f>
        <v>0</v>
      </c>
      <c r="H632" s="66">
        <f>IF(C632="",F632,0)</f>
        <v>0</v>
      </c>
      <c r="I632" s="66">
        <f>IF(C632="",1,0)</f>
        <v>0</v>
      </c>
      <c r="J632" s="67"/>
      <c r="M632" s="84"/>
      <c r="N632" s="84"/>
      <c r="O632" s="84"/>
    </row>
    <row r="633" spans="1:15" s="66" customFormat="1" x14ac:dyDescent="0.2">
      <c r="A633" s="62"/>
      <c r="B633" s="60">
        <f>$J$3</f>
        <v>2</v>
      </c>
      <c r="C633" s="48" t="s">
        <v>313</v>
      </c>
      <c r="D633" s="49" t="str">
        <f>IF(C633&lt;&gt;"",VLOOKUP(C633,'Dummy Table'!$B$3:$C$30,2,FALSE),"")</f>
        <v>Mônaco</v>
      </c>
      <c r="E633" s="49" t="str">
        <f>IF(C633&lt;&gt;"",VLOOKUP(C633,'Dummy Table'!$B$3:$D$30,3,FALSE),"")</f>
        <v>Ferrari</v>
      </c>
      <c r="F633" s="50">
        <v>18</v>
      </c>
      <c r="H633" s="66">
        <f>IF(C633="",F633,0)</f>
        <v>0</v>
      </c>
      <c r="J633" s="67"/>
      <c r="M633" s="84"/>
      <c r="N633" s="84"/>
      <c r="O633" s="84"/>
    </row>
    <row r="634" spans="1:15" s="66" customFormat="1" x14ac:dyDescent="0.2">
      <c r="A634" s="62"/>
      <c r="B634" s="60">
        <f>$J$4</f>
        <v>3</v>
      </c>
      <c r="C634" s="48" t="s">
        <v>305</v>
      </c>
      <c r="D634" s="49" t="str">
        <f>IF(C634&lt;&gt;"",VLOOKUP(C634,'Dummy Table'!$B$3:$C$30,2,FALSE),"")</f>
        <v>Holanda</v>
      </c>
      <c r="E634" s="49" t="str">
        <f>IF(C634&lt;&gt;"",VLOOKUP(C634,'Dummy Table'!$B$3:$D$30,3,FALSE),"")</f>
        <v>Red Bull</v>
      </c>
      <c r="F634" s="50">
        <v>15</v>
      </c>
      <c r="J634" s="67"/>
      <c r="M634" s="84"/>
      <c r="N634" s="84"/>
      <c r="O634" s="84"/>
    </row>
    <row r="635" spans="1:15" s="66" customFormat="1" x14ac:dyDescent="0.2">
      <c r="A635" s="62"/>
      <c r="B635" s="60">
        <f>$J$5</f>
        <v>4</v>
      </c>
      <c r="C635" s="48" t="s">
        <v>338</v>
      </c>
      <c r="D635" s="49" t="str">
        <f>IF(C635&lt;&gt;"",VLOOKUP(C635,'Dummy Table'!$B$3:$C$30,2,FALSE),"")</f>
        <v>Inglaterra</v>
      </c>
      <c r="E635" s="49" t="str">
        <f>IF(C635&lt;&gt;"",VLOOKUP(C635,'Dummy Table'!$B$3:$D$30,3,FALSE),"")</f>
        <v>Haas</v>
      </c>
      <c r="F635" s="50">
        <v>12</v>
      </c>
      <c r="J635" s="67"/>
      <c r="M635" s="84"/>
      <c r="N635" s="84"/>
      <c r="O635" s="84"/>
    </row>
    <row r="636" spans="1:15" s="66" customFormat="1" x14ac:dyDescent="0.2">
      <c r="A636" s="62"/>
      <c r="B636" s="60">
        <f>$J$6</f>
        <v>5</v>
      </c>
      <c r="C636" s="48" t="s">
        <v>334</v>
      </c>
      <c r="D636" s="49" t="str">
        <f>IF(C636&lt;&gt;"",VLOOKUP(C636,'Dummy Table'!$B$3:$C$30,2,FALSE),"")</f>
        <v>Austrália</v>
      </c>
      <c r="E636" s="49" t="str">
        <f>IF(C636&lt;&gt;"",VLOOKUP(C636,'Dummy Table'!$B$3:$D$30,3,FALSE),"")</f>
        <v>McLaren 🏆</v>
      </c>
      <c r="F636" s="50">
        <v>10</v>
      </c>
      <c r="J636" s="67"/>
      <c r="M636" s="84"/>
      <c r="N636" s="84"/>
      <c r="O636" s="84"/>
    </row>
    <row r="637" spans="1:15" s="66" customFormat="1" x14ac:dyDescent="0.2">
      <c r="A637" s="62"/>
      <c r="B637" s="60">
        <f>$J$7</f>
        <v>6</v>
      </c>
      <c r="C637" s="48" t="s">
        <v>336</v>
      </c>
      <c r="D637" s="49" t="str">
        <f>IF(C637&lt;&gt;"",VLOOKUP(C637,'Dummy Table'!$B$3:$C$30,2,FALSE),"")</f>
        <v>Itália</v>
      </c>
      <c r="E637" s="49" t="str">
        <f>IF(C637&lt;&gt;"",VLOOKUP(C637,'Dummy Table'!$B$3:$D$30,3,FALSE),"")</f>
        <v>Mercedes</v>
      </c>
      <c r="F637" s="50">
        <v>8</v>
      </c>
      <c r="J637" s="67"/>
      <c r="M637" s="84"/>
      <c r="N637" s="84"/>
      <c r="O637" s="84"/>
    </row>
    <row r="638" spans="1:15" s="66" customFormat="1" x14ac:dyDescent="0.2">
      <c r="A638" s="62"/>
      <c r="B638" s="60">
        <f>$J$8</f>
        <v>7</v>
      </c>
      <c r="C638" s="48" t="s">
        <v>394</v>
      </c>
      <c r="D638" s="49" t="str">
        <f>IF(C638&lt;&gt;"",VLOOKUP(C638,'Dummy Table'!$B$3:$C$30,2,FALSE),"")</f>
        <v>Inglaterra</v>
      </c>
      <c r="E638" s="49" t="str">
        <f>IF(C638&lt;&gt;"",VLOOKUP(C638,'Dummy Table'!$B$3:$D$30,3,FALSE),"")</f>
        <v>Mercedes</v>
      </c>
      <c r="F638" s="50">
        <v>6</v>
      </c>
      <c r="J638" s="67"/>
      <c r="M638" s="84"/>
      <c r="N638" s="84"/>
      <c r="O638" s="84"/>
    </row>
    <row r="639" spans="1:15" s="66" customFormat="1" x14ac:dyDescent="0.2">
      <c r="A639" s="62"/>
      <c r="B639" s="60">
        <f>$J$9</f>
        <v>8</v>
      </c>
      <c r="C639" s="48" t="s">
        <v>1</v>
      </c>
      <c r="D639" s="49" t="str">
        <f>IF(C639&lt;&gt;"",VLOOKUP(C639,'Dummy Table'!$B$3:$C$30,2,FALSE),"")</f>
        <v>Inglaterra</v>
      </c>
      <c r="E639" s="49" t="str">
        <f>IF(C639&lt;&gt;"",VLOOKUP(C639,'Dummy Table'!$B$3:$D$30,3,FALSE),"")</f>
        <v>Ferrari</v>
      </c>
      <c r="F639" s="50">
        <v>4</v>
      </c>
      <c r="J639" s="67"/>
      <c r="M639" s="84"/>
      <c r="N639" s="84"/>
      <c r="O639" s="84"/>
    </row>
    <row r="640" spans="1:15" s="66" customFormat="1" x14ac:dyDescent="0.2">
      <c r="A640" s="62"/>
      <c r="B640" s="60">
        <f>$J$10</f>
        <v>9</v>
      </c>
      <c r="C640" s="48" t="s">
        <v>319</v>
      </c>
      <c r="D640" s="49" t="str">
        <f>IF(C640&lt;&gt;"",VLOOKUP(C640,'Dummy Table'!$B$3:$C$30,2,FALSE),"")</f>
        <v>França</v>
      </c>
      <c r="E640" s="49" t="str">
        <f>IF(C640&lt;&gt;"",VLOOKUP(C640,'Dummy Table'!$B$3:$D$30,3,FALSE),"")</f>
        <v>Haas</v>
      </c>
      <c r="F640" s="50">
        <v>2</v>
      </c>
      <c r="J640" s="67"/>
      <c r="M640" s="84"/>
      <c r="N640" s="84"/>
      <c r="O640" s="84"/>
    </row>
    <row r="641" spans="1:15" s="66" customFormat="1" x14ac:dyDescent="0.2">
      <c r="A641" s="62"/>
      <c r="B641" s="60">
        <f>$J$11</f>
        <v>10</v>
      </c>
      <c r="C641" s="48" t="s">
        <v>344</v>
      </c>
      <c r="D641" s="49" t="str">
        <f>IF(C641&lt;&gt;"",VLOOKUP(C641,'Dummy Table'!$B$3:$C$30,2,FALSE),"")</f>
        <v>Brasil</v>
      </c>
      <c r="E641" s="49" t="str">
        <f>IF(C641&lt;&gt;"",VLOOKUP(C641,'Dummy Table'!$B$3:$D$30,3,FALSE),"")</f>
        <v>Kick Sauber</v>
      </c>
      <c r="F641" s="50">
        <v>1</v>
      </c>
      <c r="J641" s="67"/>
      <c r="M641" s="84"/>
      <c r="N641" s="84"/>
      <c r="O641" s="84"/>
    </row>
    <row r="642" spans="1:15" s="66" customFormat="1" x14ac:dyDescent="0.2">
      <c r="A642" s="62"/>
      <c r="B642" s="60">
        <f>$J$12</f>
        <v>11</v>
      </c>
      <c r="C642" s="48" t="s">
        <v>339</v>
      </c>
      <c r="D642" s="49" t="str">
        <f>IF(C642&lt;&gt;"",VLOOKUP(C642,'Dummy Table'!$B$3:$C$30,2,FALSE),"")</f>
        <v>Japão</v>
      </c>
      <c r="E642" s="49" t="str">
        <f>IF(C642&lt;&gt;"",VLOOKUP(C642,'Dummy Table'!$B$3:$D$30,3,FALSE),"")</f>
        <v>Red Bull</v>
      </c>
      <c r="F642" s="51"/>
      <c r="J642" s="67"/>
      <c r="M642" s="84"/>
      <c r="N642" s="84"/>
      <c r="O642" s="84"/>
    </row>
    <row r="643" spans="1:15" s="66" customFormat="1" x14ac:dyDescent="0.2">
      <c r="A643" s="62"/>
      <c r="B643" s="60">
        <f>$J$13</f>
        <v>12</v>
      </c>
      <c r="C643" s="48" t="s">
        <v>315</v>
      </c>
      <c r="D643" s="49" t="str">
        <f>IF(C643&lt;&gt;"",VLOOKUP(C643,'Dummy Table'!$B$3:$C$30,2,FALSE),"")</f>
        <v>Tailandia</v>
      </c>
      <c r="E643" s="49" t="str">
        <f>IF(C643&lt;&gt;"",VLOOKUP(C643,'Dummy Table'!$B$3:$D$30,3,FALSE),"")</f>
        <v>Williams</v>
      </c>
      <c r="F643" s="51"/>
      <c r="J643" s="67"/>
      <c r="M643" s="84"/>
      <c r="N643" s="84"/>
      <c r="O643" s="84"/>
    </row>
    <row r="644" spans="1:15" s="66" customFormat="1" x14ac:dyDescent="0.2">
      <c r="A644" s="62"/>
      <c r="B644" s="60">
        <f>$J$14</f>
        <v>13</v>
      </c>
      <c r="C644" s="48" t="s">
        <v>341</v>
      </c>
      <c r="D644" s="49" t="str">
        <f>IF(C644&lt;&gt;"",VLOOKUP(C644,'Dummy Table'!$B$3:$C$30,2,FALSE),"")</f>
        <v>França</v>
      </c>
      <c r="E644" s="49" t="str">
        <f>IF(C644&lt;&gt;"",VLOOKUP(C644,'Dummy Table'!$B$3:$D$30,3,FALSE),"")</f>
        <v>Racing Bulls</v>
      </c>
      <c r="F644" s="51"/>
      <c r="G644" s="72"/>
      <c r="H644" s="72"/>
      <c r="I644" s="72"/>
      <c r="J644" s="67"/>
      <c r="M644" s="84"/>
      <c r="N644" s="84"/>
      <c r="O644" s="84"/>
    </row>
    <row r="645" spans="1:15" s="66" customFormat="1" x14ac:dyDescent="0.2">
      <c r="A645" s="62"/>
      <c r="B645" s="60">
        <f>$J$15</f>
        <v>14</v>
      </c>
      <c r="C645" s="48" t="s">
        <v>311</v>
      </c>
      <c r="D645" s="49" t="str">
        <f>IF(C645&lt;&gt;"",VLOOKUP(C645,'Dummy Table'!$B$3:$C$30,2,FALSE),"")</f>
        <v>Canadá</v>
      </c>
      <c r="E645" s="49" t="str">
        <f>IF(C645&lt;&gt;"",VLOOKUP(C645,'Dummy Table'!$B$3:$D$30,3,FALSE),"")</f>
        <v>Aston Martin</v>
      </c>
      <c r="F645" s="51"/>
      <c r="G645" s="72"/>
      <c r="H645" s="72"/>
      <c r="I645" s="72"/>
      <c r="J645" s="67"/>
      <c r="M645" s="84"/>
      <c r="N645" s="84"/>
      <c r="O645" s="84"/>
    </row>
    <row r="646" spans="1:15" s="66" customFormat="1" x14ac:dyDescent="0.2">
      <c r="A646" s="62"/>
      <c r="B646" s="60">
        <f>$J$16</f>
        <v>15</v>
      </c>
      <c r="C646" s="48" t="s">
        <v>312</v>
      </c>
      <c r="D646" s="49" t="str">
        <f>IF(C646&lt;&gt;"",VLOOKUP(C646,'Dummy Table'!$B$3:$C$30,2,FALSE),"")</f>
        <v>França</v>
      </c>
      <c r="E646" s="49" t="str">
        <f>IF(C646&lt;&gt;"",VLOOKUP(C646,'Dummy Table'!$B$3:$D$30,3,FALSE),"")</f>
        <v>Alpine</v>
      </c>
      <c r="F646" s="51"/>
      <c r="G646" s="72"/>
      <c r="H646" s="72"/>
      <c r="I646" s="72"/>
      <c r="J646" s="67"/>
      <c r="M646" s="84"/>
      <c r="N646" s="84"/>
      <c r="O646" s="84"/>
    </row>
    <row r="647" spans="1:15" s="66" customFormat="1" x14ac:dyDescent="0.2">
      <c r="A647" s="62"/>
      <c r="B647" s="60">
        <f>$J$17</f>
        <v>16</v>
      </c>
      <c r="C647" s="48" t="s">
        <v>400</v>
      </c>
      <c r="D647" s="49" t="str">
        <f>IF(C647&lt;&gt;"",VLOOKUP(C647,'Dummy Table'!$B$3:$C$30,2,FALSE),"")</f>
        <v>Argentina</v>
      </c>
      <c r="E647" s="49" t="str">
        <f>IF(C647&lt;&gt;"",VLOOKUP(C647,'Dummy Table'!$B$3:$D$30,3,FALSE),"")</f>
        <v>Alpine</v>
      </c>
      <c r="F647" s="51"/>
      <c r="G647" s="72"/>
      <c r="H647" s="72"/>
      <c r="I647" s="72"/>
      <c r="J647" s="67"/>
      <c r="M647" s="84"/>
      <c r="N647" s="84"/>
      <c r="O647" s="84"/>
    </row>
    <row r="648" spans="1:15" s="66" customFormat="1" x14ac:dyDescent="0.2">
      <c r="A648" s="62"/>
      <c r="B648" s="60">
        <f>$J$18</f>
        <v>17</v>
      </c>
      <c r="C648" s="48" t="s">
        <v>343</v>
      </c>
      <c r="D648" s="49" t="str">
        <f>IF(C648&lt;&gt;"",VLOOKUP(C648,'Dummy Table'!$B$3:$C$30,2,FALSE),"")</f>
        <v>Espanha</v>
      </c>
      <c r="E648" s="49" t="str">
        <f>IF(C648&lt;&gt;"",VLOOKUP(C648,'Dummy Table'!$B$3:$D$30,3,FALSE),"")</f>
        <v>Williams</v>
      </c>
      <c r="F648" s="51" t="s">
        <v>320</v>
      </c>
      <c r="G648" s="72"/>
      <c r="H648" s="72"/>
      <c r="I648" s="72"/>
      <c r="J648" s="67"/>
      <c r="M648" s="84"/>
      <c r="N648" s="84"/>
      <c r="O648" s="84"/>
    </row>
    <row r="649" spans="1:15" s="66" customFormat="1" x14ac:dyDescent="0.2">
      <c r="A649" s="62"/>
      <c r="B649" s="60">
        <f>$J$19</f>
        <v>18</v>
      </c>
      <c r="C649" s="48" t="s">
        <v>30</v>
      </c>
      <c r="D649" s="49" t="str">
        <f>IF(C649&lt;&gt;"",VLOOKUP(C649,'Dummy Table'!$B$3:$C$30,2,FALSE),"")</f>
        <v>Espanha</v>
      </c>
      <c r="E649" s="49" t="str">
        <f>IF(C649&lt;&gt;"",VLOOKUP(C649,'Dummy Table'!$B$3:$D$30,3,FALSE),"")</f>
        <v>Aston Martin</v>
      </c>
      <c r="F649" s="51" t="s">
        <v>320</v>
      </c>
      <c r="G649" s="72"/>
      <c r="H649" s="72"/>
      <c r="I649" s="72"/>
      <c r="J649" s="67"/>
      <c r="M649" s="84"/>
      <c r="N649" s="84"/>
      <c r="O649" s="84"/>
    </row>
    <row r="650" spans="1:15" s="66" customFormat="1" x14ac:dyDescent="0.2">
      <c r="A650" s="62"/>
      <c r="B650" s="60">
        <f>$J$20</f>
        <v>19</v>
      </c>
      <c r="C650" s="48" t="s">
        <v>257</v>
      </c>
      <c r="D650" s="49" t="str">
        <f>IF(C650&lt;&gt;"",VLOOKUP(C650,'Dummy Table'!$B$3:$C$30,2,FALSE),"")</f>
        <v>Alemanha</v>
      </c>
      <c r="E650" s="49" t="str">
        <f>IF(C650&lt;&gt;"",VLOOKUP(C650,'Dummy Table'!$B$3:$D$30,3,FALSE),"")</f>
        <v>Kick Sauber</v>
      </c>
      <c r="F650" s="51" t="s">
        <v>320</v>
      </c>
      <c r="G650" s="72"/>
      <c r="H650" s="72"/>
      <c r="I650" s="72"/>
      <c r="J650" s="67"/>
      <c r="M650" s="84"/>
      <c r="N650" s="84"/>
      <c r="O650" s="84"/>
    </row>
    <row r="651" spans="1:15" s="66" customFormat="1" x14ac:dyDescent="0.2">
      <c r="A651" s="62"/>
      <c r="B651" s="60">
        <f>$J$21</f>
        <v>20</v>
      </c>
      <c r="C651" s="48" t="s">
        <v>335</v>
      </c>
      <c r="D651" s="49" t="str">
        <f>IF(C651&lt;&gt;"",VLOOKUP(C651,'Dummy Table'!$B$3:$C$30,2,FALSE),"")</f>
        <v>Austrália</v>
      </c>
      <c r="E651" s="49" t="str">
        <f>IF(C651&lt;&gt;"",VLOOKUP(C651,'Dummy Table'!$B$3:$D$30,3,FALSE),"")</f>
        <v>Racing Bulls</v>
      </c>
      <c r="F651" s="51" t="s">
        <v>320</v>
      </c>
      <c r="G651" s="72"/>
      <c r="H651" s="72"/>
      <c r="I651" s="72"/>
      <c r="J651" s="67"/>
      <c r="M651" s="84"/>
      <c r="N651" s="84"/>
      <c r="O651" s="84"/>
    </row>
    <row r="652" spans="1:15" s="66" customFormat="1" hidden="1" x14ac:dyDescent="0.2">
      <c r="A652" s="62"/>
      <c r="B652" s="76">
        <f>$J$22</f>
        <v>21</v>
      </c>
      <c r="C652" s="75"/>
      <c r="D652" s="65" t="str">
        <f>IF(C652&lt;&gt;"",VLOOKUP(C652,'Dummy Table'!$B$3:$C$30,2,FALSE),"")</f>
        <v/>
      </c>
      <c r="E652" s="65" t="str">
        <f>IF(C652&lt;&gt;"",VLOOKUP(C652,'Dummy Table'!$B$3:$D$30,3,FALSE),"")</f>
        <v/>
      </c>
      <c r="F652" s="77"/>
      <c r="G652" s="72"/>
      <c r="H652" s="72"/>
      <c r="I652" s="72"/>
      <c r="J652" s="67"/>
      <c r="M652" s="84"/>
      <c r="N652" s="84"/>
      <c r="O652" s="84"/>
    </row>
    <row r="653" spans="1:15" s="66" customFormat="1" hidden="1" x14ac:dyDescent="0.2">
      <c r="A653" s="62"/>
      <c r="B653" s="76" t="str">
        <f>$J$23</f>
        <v/>
      </c>
      <c r="C653" s="75"/>
      <c r="D653" s="65" t="str">
        <f>IF(C653&lt;&gt;"",VLOOKUP(C653,'Dummy Table'!$B$3:$C$30,2,FALSE),"")</f>
        <v/>
      </c>
      <c r="E653" s="65" t="str">
        <f>IF(C653&lt;&gt;"",VLOOKUP(C653,'Dummy Table'!$B$3:$D$30,3,FALSE),"")</f>
        <v/>
      </c>
      <c r="F653" s="80"/>
      <c r="G653" s="72"/>
      <c r="H653" s="72"/>
      <c r="I653" s="72"/>
      <c r="J653" s="67"/>
      <c r="M653" s="84"/>
      <c r="N653" s="84"/>
      <c r="O653" s="84"/>
    </row>
    <row r="654" spans="1:15" s="66" customFormat="1" hidden="1" x14ac:dyDescent="0.2">
      <c r="A654" s="62"/>
      <c r="B654" s="76" t="str">
        <f>IF(F654="",$J$24,"Ret")</f>
        <v/>
      </c>
      <c r="C654" s="75"/>
      <c r="D654" s="65" t="str">
        <f>IF(C654&lt;&gt;"",VLOOKUP(C654,'Dummy Table'!$B$3:$C$30,2,FALSE),"")</f>
        <v/>
      </c>
      <c r="E654" s="65" t="str">
        <f>IF(C654&lt;&gt;"",VLOOKUP(C654,'Dummy Table'!$B$3:$D$30,3,FALSE),"")</f>
        <v/>
      </c>
      <c r="F654" s="81"/>
      <c r="G654" s="72"/>
      <c r="H654" s="72"/>
      <c r="I654" s="72"/>
      <c r="J654" s="67"/>
      <c r="M654" s="84"/>
      <c r="N654" s="84"/>
      <c r="O654" s="84"/>
    </row>
    <row r="655" spans="1:15" s="66" customFormat="1" hidden="1" x14ac:dyDescent="0.2">
      <c r="A655" s="62"/>
      <c r="B655" s="76" t="str">
        <f>IF(F655="",$J$25,"Ret")</f>
        <v/>
      </c>
      <c r="C655" s="75"/>
      <c r="D655" s="65" t="str">
        <f>IF(C655&lt;&gt;"",VLOOKUP(C655,'Dummy Table'!$B$3:$C$30,2,FALSE),"")</f>
        <v/>
      </c>
      <c r="E655" s="65" t="str">
        <f>IF(C655&lt;&gt;"",VLOOKUP(C655,'Dummy Table'!$B$3:$D$30,3,FALSE),"")</f>
        <v/>
      </c>
      <c r="F655" s="81"/>
      <c r="G655" s="72"/>
      <c r="H655" s="72"/>
      <c r="I655" s="72"/>
      <c r="J655" s="67"/>
      <c r="M655" s="84"/>
      <c r="N655" s="84"/>
      <c r="O655" s="84"/>
    </row>
    <row r="656" spans="1:15" s="66" customFormat="1" x14ac:dyDescent="0.2">
      <c r="A656" s="62"/>
      <c r="B656" s="52" t="s">
        <v>248</v>
      </c>
      <c r="C656" s="53" t="s">
        <v>316</v>
      </c>
      <c r="D656" s="54" t="str">
        <f>IF(C656&lt;&gt;"",VLOOKUP(C656,'Dummy Table'!$B$3:$C$30,2,FALSE),"")</f>
        <v>Inglaterra</v>
      </c>
      <c r="E656" s="54" t="str">
        <f>IF(C656&lt;&gt;"",VLOOKUP(C656,'Dummy Table'!$B$3:$D$30,3,FALSE),"")</f>
        <v>McLaren 🏆</v>
      </c>
      <c r="F656" s="55"/>
      <c r="H656" s="72"/>
      <c r="J656" s="67"/>
      <c r="M656" s="84"/>
      <c r="N656" s="84"/>
      <c r="O656" s="84"/>
    </row>
    <row r="657" spans="1:26" s="66" customFormat="1" x14ac:dyDescent="0.2">
      <c r="A657" s="62"/>
      <c r="B657" s="56" t="s">
        <v>238</v>
      </c>
      <c r="C657" s="57" t="s">
        <v>394</v>
      </c>
      <c r="D657" s="54" t="str">
        <f>IF(C657&lt;&gt;"",VLOOKUP(C657,'Dummy Table'!$B$3:$C$30,2,FALSE),"")</f>
        <v>Inglaterra</v>
      </c>
      <c r="E657" s="54" t="str">
        <f>IF(C657&lt;&gt;"",VLOOKUP(C657,'Dummy Table'!$B$3:$D$30,3,FALSE),"")</f>
        <v>Mercedes</v>
      </c>
      <c r="F657" s="58"/>
      <c r="H657" s="66">
        <f>IF(C657="",F657,0)</f>
        <v>0</v>
      </c>
      <c r="J657" s="67"/>
      <c r="M657" s="84"/>
      <c r="N657" s="84"/>
      <c r="O657" s="84"/>
    </row>
    <row r="658" spans="1:26" s="66" customFormat="1" x14ac:dyDescent="0.2">
      <c r="A658" s="62">
        <v>21</v>
      </c>
      <c r="B658" s="129">
        <f>VLOOKUP($A658,'Calendário atual'!$A$2:$E$30,2,FALSE)</f>
        <v>45970</v>
      </c>
      <c r="C658" s="162" t="str">
        <f>VLOOKUP($A658,'Calendário atual'!$A$2:$E$30,4,FALSE)</f>
        <v>FORMULA 1 MSC CRUISES GRANDE PRÊMIO DE SÃO PAULO 2025</v>
      </c>
      <c r="D658" s="162"/>
      <c r="E658" s="162"/>
      <c r="F658" s="129" t="str">
        <f>VLOOKUP($A658,'Calendário atual'!$A$2:$E$30,3,FALSE)</f>
        <v>Brasil</v>
      </c>
      <c r="G658" s="72"/>
      <c r="H658" s="72"/>
      <c r="I658" s="72"/>
      <c r="J658" s="67"/>
      <c r="M658" s="84"/>
      <c r="N658" s="84"/>
      <c r="O658" s="84"/>
    </row>
    <row r="659" spans="1:26" x14ac:dyDescent="0.2">
      <c r="B659" s="134"/>
      <c r="C659" s="136" t="s">
        <v>396</v>
      </c>
      <c r="D659" s="135"/>
      <c r="E659" s="135"/>
      <c r="F659" s="135"/>
      <c r="G659" s="72"/>
      <c r="H659" s="72"/>
      <c r="I659" s="72"/>
      <c r="K659" s="82"/>
      <c r="M659" s="74"/>
      <c r="N659" s="74"/>
      <c r="O659" s="74"/>
      <c r="P659" s="74"/>
      <c r="Q659" s="74"/>
      <c r="R659" s="74"/>
      <c r="S659" s="74"/>
      <c r="T659" s="74"/>
      <c r="V659" s="68"/>
      <c r="W659" s="68"/>
      <c r="X659" s="68"/>
    </row>
    <row r="660" spans="1:26" x14ac:dyDescent="0.2">
      <c r="B660" s="61" t="s">
        <v>14</v>
      </c>
      <c r="C660" s="61" t="s">
        <v>29</v>
      </c>
      <c r="D660" s="61" t="s">
        <v>16</v>
      </c>
      <c r="E660" s="61" t="s">
        <v>17</v>
      </c>
      <c r="F660" s="61" t="s">
        <v>18</v>
      </c>
      <c r="M660" s="83"/>
      <c r="N660" s="83"/>
      <c r="O660" s="83"/>
      <c r="P660" s="78"/>
      <c r="Q660" s="78"/>
      <c r="R660" s="78"/>
      <c r="V660" s="68"/>
      <c r="W660" s="68"/>
      <c r="X660" s="68"/>
    </row>
    <row r="661" spans="1:26" x14ac:dyDescent="0.2">
      <c r="B661" s="59">
        <f>$J$2</f>
        <v>1</v>
      </c>
      <c r="C661" s="48" t="s">
        <v>316</v>
      </c>
      <c r="D661" s="49" t="str">
        <f>IF(C661&lt;&gt;"",VLOOKUP(C661,'Dummy Table'!$B$3:$C$30,2,FALSE),"")</f>
        <v>Inglaterra</v>
      </c>
      <c r="E661" s="49" t="str">
        <f>IF(C661&lt;&gt;"",VLOOKUP(C661,'Dummy Table'!$B$3:$D$30,3,FALSE),"")</f>
        <v>McLaren 🏆</v>
      </c>
      <c r="F661" s="50">
        <v>8</v>
      </c>
      <c r="G661" s="66">
        <f>IF(C661="",F661,0)</f>
        <v>0</v>
      </c>
      <c r="H661" s="66">
        <f>IF(C661="",F661,0)</f>
        <v>0</v>
      </c>
      <c r="K661" s="71"/>
      <c r="M661" s="130"/>
      <c r="N661" s="130"/>
      <c r="O661" s="130"/>
      <c r="V661" s="68"/>
      <c r="W661" s="68"/>
      <c r="X661" s="68"/>
    </row>
    <row r="662" spans="1:26" x14ac:dyDescent="0.2">
      <c r="B662" s="60">
        <f>$J$3</f>
        <v>2</v>
      </c>
      <c r="C662" s="48" t="s">
        <v>336</v>
      </c>
      <c r="D662" s="49" t="str">
        <f>IF(C662&lt;&gt;"",VLOOKUP(C662,'Dummy Table'!$B$3:$C$30,2,FALSE),"")</f>
        <v>Itália</v>
      </c>
      <c r="E662" s="49" t="str">
        <f>IF(C662&lt;&gt;"",VLOOKUP(C662,'Dummy Table'!$B$3:$D$30,3,FALSE),"")</f>
        <v>Mercedes</v>
      </c>
      <c r="F662" s="50">
        <v>7</v>
      </c>
      <c r="H662" s="66">
        <f>IF(C662="",F662,0)</f>
        <v>0</v>
      </c>
      <c r="K662" s="71"/>
      <c r="M662" s="130"/>
      <c r="N662" s="130"/>
      <c r="O662" s="130"/>
    </row>
    <row r="663" spans="1:26" x14ac:dyDescent="0.2">
      <c r="B663" s="60">
        <f>$J$4</f>
        <v>3</v>
      </c>
      <c r="C663" s="48" t="s">
        <v>394</v>
      </c>
      <c r="D663" s="49" t="str">
        <f>IF(C663&lt;&gt;"",VLOOKUP(C663,'Dummy Table'!$B$3:$C$30,2,FALSE),"")</f>
        <v>Inglaterra</v>
      </c>
      <c r="E663" s="49" t="str">
        <f>IF(C663&lt;&gt;"",VLOOKUP(C663,'Dummy Table'!$B$3:$D$30,3,FALSE),"")</f>
        <v>Mercedes</v>
      </c>
      <c r="F663" s="50">
        <v>6</v>
      </c>
      <c r="M663" s="130"/>
      <c r="N663" s="130"/>
      <c r="O663" s="130"/>
    </row>
    <row r="664" spans="1:26" x14ac:dyDescent="0.2">
      <c r="B664" s="60">
        <f>$J$5</f>
        <v>4</v>
      </c>
      <c r="C664" s="48" t="s">
        <v>305</v>
      </c>
      <c r="D664" s="49" t="str">
        <f>IF(C664&lt;&gt;"",VLOOKUP(C664,'Dummy Table'!$B$3:$C$30,2,FALSE),"")</f>
        <v>Holanda</v>
      </c>
      <c r="E664" s="49" t="str">
        <f>IF(C664&lt;&gt;"",VLOOKUP(C664,'Dummy Table'!$B$3:$D$30,3,FALSE),"")</f>
        <v>Red Bull</v>
      </c>
      <c r="F664" s="50">
        <v>5</v>
      </c>
      <c r="K664" s="78"/>
      <c r="M664" s="130"/>
      <c r="N664" s="130"/>
      <c r="O664" s="130"/>
    </row>
    <row r="665" spans="1:26" x14ac:dyDescent="0.2">
      <c r="B665" s="60">
        <f>$J$6</f>
        <v>5</v>
      </c>
      <c r="C665" s="48" t="s">
        <v>313</v>
      </c>
      <c r="D665" s="49" t="str">
        <f>IF(C665&lt;&gt;"",VLOOKUP(C665,'Dummy Table'!$B$3:$C$30,2,FALSE),"")</f>
        <v>Mônaco</v>
      </c>
      <c r="E665" s="49" t="str">
        <f>IF(C665&lt;&gt;"",VLOOKUP(C665,'Dummy Table'!$B$3:$D$30,3,FALSE),"")</f>
        <v>Ferrari</v>
      </c>
      <c r="F665" s="50">
        <v>4</v>
      </c>
      <c r="M665" s="130"/>
      <c r="N665" s="130"/>
      <c r="O665" s="130"/>
    </row>
    <row r="666" spans="1:26" x14ac:dyDescent="0.2">
      <c r="B666" s="60">
        <f>$J$7</f>
        <v>6</v>
      </c>
      <c r="C666" s="48" t="s">
        <v>30</v>
      </c>
      <c r="D666" s="49" t="str">
        <f>IF(C666&lt;&gt;"",VLOOKUP(C666,'Dummy Table'!$B$3:$C$30,2,FALSE),"")</f>
        <v>Espanha</v>
      </c>
      <c r="E666" s="49" t="str">
        <f>IF(C666&lt;&gt;"",VLOOKUP(C666,'Dummy Table'!$B$3:$D$30,3,FALSE),"")</f>
        <v>Aston Martin</v>
      </c>
      <c r="F666" s="50">
        <v>3</v>
      </c>
      <c r="K666" s="71"/>
      <c r="M666" s="130"/>
      <c r="N666" s="130"/>
      <c r="O666" s="130"/>
    </row>
    <row r="667" spans="1:26" x14ac:dyDescent="0.2">
      <c r="B667" s="60">
        <f>$J$8</f>
        <v>7</v>
      </c>
      <c r="C667" s="48" t="s">
        <v>1</v>
      </c>
      <c r="D667" s="49" t="str">
        <f>IF(C667&lt;&gt;"",VLOOKUP(C667,'Dummy Table'!$B$3:$C$30,2,FALSE),"")</f>
        <v>Inglaterra</v>
      </c>
      <c r="E667" s="49" t="str">
        <f>IF(C667&lt;&gt;"",VLOOKUP(C667,'Dummy Table'!$B$3:$D$30,3,FALSE),"")</f>
        <v>Ferrari</v>
      </c>
      <c r="F667" s="50">
        <v>2</v>
      </c>
      <c r="K667" s="71"/>
      <c r="M667" s="130"/>
      <c r="N667" s="130"/>
      <c r="O667" s="130"/>
    </row>
    <row r="668" spans="1:26" x14ac:dyDescent="0.2">
      <c r="B668" s="60">
        <f>$J$9</f>
        <v>8</v>
      </c>
      <c r="C668" s="48" t="s">
        <v>312</v>
      </c>
      <c r="D668" s="49" t="str">
        <f>IF(C668&lt;&gt;"",VLOOKUP(C668,'Dummy Table'!$B$3:$C$30,2,FALSE),"")</f>
        <v>França</v>
      </c>
      <c r="E668" s="49" t="str">
        <f>IF(C668&lt;&gt;"",VLOOKUP(C668,'Dummy Table'!$B$3:$D$30,3,FALSE),"")</f>
        <v>Alpine</v>
      </c>
      <c r="F668" s="50">
        <v>1</v>
      </c>
      <c r="K668" s="71"/>
      <c r="M668" s="130"/>
      <c r="N668" s="130"/>
      <c r="O668" s="130"/>
    </row>
    <row r="669" spans="1:26" s="79" customFormat="1" x14ac:dyDescent="0.2">
      <c r="A669" s="62"/>
      <c r="B669" s="60">
        <f>$J$10</f>
        <v>9</v>
      </c>
      <c r="C669" s="48" t="s">
        <v>311</v>
      </c>
      <c r="D669" s="49" t="str">
        <f>IF(C669&lt;&gt;"",VLOOKUP(C669,'Dummy Table'!$B$3:$C$30,2,FALSE),"")</f>
        <v>Canadá</v>
      </c>
      <c r="E669" s="49" t="str">
        <f>IF(C669&lt;&gt;"",VLOOKUP(C669,'Dummy Table'!$B$3:$D$30,3,FALSE),"")</f>
        <v>Aston Martin</v>
      </c>
      <c r="F669" s="50"/>
      <c r="G669" s="66"/>
      <c r="H669" s="66"/>
      <c r="I669" s="66"/>
      <c r="J669" s="73"/>
      <c r="K669" s="71"/>
      <c r="L669" s="78"/>
      <c r="M669" s="130"/>
      <c r="N669" s="130"/>
      <c r="O669" s="130"/>
      <c r="P669" s="68"/>
      <c r="Q669" s="68"/>
      <c r="R669" s="68"/>
      <c r="S669" s="78"/>
      <c r="T669" s="78"/>
      <c r="U669" s="78"/>
      <c r="V669" s="78"/>
      <c r="W669" s="78"/>
      <c r="X669" s="78"/>
      <c r="Y669" s="78"/>
      <c r="Z669" s="78"/>
    </row>
    <row r="670" spans="1:26" x14ac:dyDescent="0.2">
      <c r="B670" s="60">
        <f>$J$11</f>
        <v>10</v>
      </c>
      <c r="C670" s="48" t="s">
        <v>341</v>
      </c>
      <c r="D670" s="49" t="str">
        <f>IF(C670&lt;&gt;"",VLOOKUP(C670,'Dummy Table'!$B$3:$C$30,2,FALSE),"")</f>
        <v>França</v>
      </c>
      <c r="E670" s="49" t="str">
        <f>IF(C670&lt;&gt;"",VLOOKUP(C670,'Dummy Table'!$B$3:$D$30,3,FALSE),"")</f>
        <v>Racing Bulls</v>
      </c>
      <c r="F670" s="50"/>
      <c r="K670" s="71"/>
      <c r="M670" s="130"/>
      <c r="N670" s="130"/>
      <c r="O670" s="130"/>
    </row>
    <row r="671" spans="1:26" x14ac:dyDescent="0.2">
      <c r="B671" s="60">
        <f>$J$12</f>
        <v>11</v>
      </c>
      <c r="C671" s="48" t="s">
        <v>319</v>
      </c>
      <c r="D671" s="49" t="str">
        <f>IF(C671&lt;&gt;"",VLOOKUP(C671,'Dummy Table'!$B$3:$C$30,2,FALSE),"")</f>
        <v>França</v>
      </c>
      <c r="E671" s="49" t="str">
        <f>IF(C671&lt;&gt;"",VLOOKUP(C671,'Dummy Table'!$B$3:$D$30,3,FALSE),"")</f>
        <v>Haas</v>
      </c>
      <c r="F671" s="51"/>
      <c r="K671" s="71"/>
      <c r="M671" s="130"/>
      <c r="N671" s="130"/>
      <c r="O671" s="130"/>
    </row>
    <row r="672" spans="1:26" x14ac:dyDescent="0.2">
      <c r="B672" s="60">
        <f>$J$13</f>
        <v>12</v>
      </c>
      <c r="C672" s="48" t="s">
        <v>338</v>
      </c>
      <c r="D672" s="49" t="str">
        <f>IF(C672&lt;&gt;"",VLOOKUP(C672,'Dummy Table'!$B$3:$C$30,2,FALSE),"")</f>
        <v>Inglaterra</v>
      </c>
      <c r="E672" s="49" t="str">
        <f>IF(C672&lt;&gt;"",VLOOKUP(C672,'Dummy Table'!$B$3:$D$30,3,FALSE),"")</f>
        <v>Haas</v>
      </c>
      <c r="F672" s="51"/>
      <c r="K672" s="71"/>
      <c r="M672" s="130"/>
      <c r="N672" s="130"/>
      <c r="O672" s="130"/>
    </row>
    <row r="673" spans="1:24" x14ac:dyDescent="0.2">
      <c r="B673" s="60">
        <f>$J$14</f>
        <v>13</v>
      </c>
      <c r="C673" s="48" t="s">
        <v>339</v>
      </c>
      <c r="D673" s="49" t="str">
        <f>IF(C673&lt;&gt;"",VLOOKUP(C673,'Dummy Table'!$B$3:$C$30,2,FALSE),"")</f>
        <v>Japão</v>
      </c>
      <c r="E673" s="49" t="str">
        <f>IF(C673&lt;&gt;"",VLOOKUP(C673,'Dummy Table'!$B$3:$D$30,3,FALSE),"")</f>
        <v>Red Bull</v>
      </c>
      <c r="F673" s="51"/>
      <c r="G673" s="72"/>
      <c r="H673" s="72"/>
      <c r="I673" s="72"/>
      <c r="K673" s="71"/>
      <c r="M673" s="130"/>
      <c r="N673" s="130"/>
      <c r="O673" s="130"/>
    </row>
    <row r="674" spans="1:24" x14ac:dyDescent="0.2">
      <c r="B674" s="60">
        <f>$J$15</f>
        <v>14</v>
      </c>
      <c r="C674" s="48" t="s">
        <v>343</v>
      </c>
      <c r="D674" s="49" t="str">
        <f>IF(C674&lt;&gt;"",VLOOKUP(C674,'Dummy Table'!$B$3:$C$30,2,FALSE),"")</f>
        <v>Espanha</v>
      </c>
      <c r="E674" s="49" t="str">
        <f>IF(C674&lt;&gt;"",VLOOKUP(C674,'Dummy Table'!$B$3:$D$30,3,FALSE),"")</f>
        <v>Williams</v>
      </c>
      <c r="F674" s="51"/>
      <c r="G674" s="72"/>
      <c r="H674" s="72"/>
      <c r="I674" s="72"/>
      <c r="K674" s="71"/>
      <c r="M674" s="83"/>
      <c r="N674" s="83"/>
      <c r="O674" s="83"/>
      <c r="P674" s="78"/>
      <c r="Q674" s="78"/>
      <c r="R674" s="78"/>
    </row>
    <row r="675" spans="1:24" x14ac:dyDescent="0.2">
      <c r="B675" s="60">
        <f>$J$16</f>
        <v>15</v>
      </c>
      <c r="C675" s="48" t="s">
        <v>257</v>
      </c>
      <c r="D675" s="49" t="str">
        <f>IF(C675&lt;&gt;"",VLOOKUP(C675,'Dummy Table'!$B$3:$C$30,2,FALSE),"")</f>
        <v>Alemanha</v>
      </c>
      <c r="E675" s="49" t="str">
        <f>IF(C675&lt;&gt;"",VLOOKUP(C675,'Dummy Table'!$B$3:$D$30,3,FALSE),"")</f>
        <v>Kick Sauber</v>
      </c>
      <c r="F675" s="51"/>
      <c r="G675" s="72"/>
      <c r="H675" s="72"/>
      <c r="I675" s="72"/>
      <c r="K675" s="71"/>
      <c r="M675" s="130"/>
      <c r="N675" s="130"/>
      <c r="O675" s="130"/>
    </row>
    <row r="676" spans="1:24" x14ac:dyDescent="0.2">
      <c r="B676" s="60">
        <f>$J$17</f>
        <v>16</v>
      </c>
      <c r="C676" s="48" t="s">
        <v>335</v>
      </c>
      <c r="D676" s="49" t="str">
        <f>IF(C676&lt;&gt;"",VLOOKUP(C676,'Dummy Table'!$B$3:$C$30,2,FALSE),"")</f>
        <v>Austrália</v>
      </c>
      <c r="E676" s="49" t="str">
        <f>IF(C676&lt;&gt;"",VLOOKUP(C676,'Dummy Table'!$B$3:$D$30,3,FALSE),"")</f>
        <v>Racing Bulls</v>
      </c>
      <c r="F676" s="51"/>
      <c r="G676" s="72"/>
      <c r="H676" s="72"/>
      <c r="I676" s="72"/>
      <c r="K676" s="71"/>
      <c r="M676" s="130"/>
      <c r="N676" s="130"/>
      <c r="O676" s="130"/>
    </row>
    <row r="677" spans="1:24" x14ac:dyDescent="0.2">
      <c r="B677" s="60">
        <f>$J$18</f>
        <v>17</v>
      </c>
      <c r="C677" s="48" t="s">
        <v>315</v>
      </c>
      <c r="D677" s="49" t="str">
        <f>IF(C677&lt;&gt;"",VLOOKUP(C677,'Dummy Table'!$B$3:$C$30,2,FALSE),"")</f>
        <v>Tailandia</v>
      </c>
      <c r="E677" s="49" t="str">
        <f>IF(C677&lt;&gt;"",VLOOKUP(C677,'Dummy Table'!$B$3:$D$30,3,FALSE),"")</f>
        <v>Williams</v>
      </c>
      <c r="F677" s="51"/>
      <c r="G677" s="72"/>
      <c r="H677" s="72"/>
      <c r="I677" s="72"/>
      <c r="M677" s="130"/>
      <c r="N677" s="130"/>
      <c r="O677" s="130"/>
    </row>
    <row r="678" spans="1:24" x14ac:dyDescent="0.2">
      <c r="B678" s="60">
        <f>$J$19</f>
        <v>18</v>
      </c>
      <c r="C678" s="48" t="s">
        <v>344</v>
      </c>
      <c r="D678" s="49" t="str">
        <f>IF(C678&lt;&gt;"",VLOOKUP(C678,'Dummy Table'!$B$3:$C$30,2,FALSE),"")</f>
        <v>Brasil</v>
      </c>
      <c r="E678" s="49" t="str">
        <f>IF(C678&lt;&gt;"",VLOOKUP(C678,'Dummy Table'!$B$3:$D$30,3,FALSE),"")</f>
        <v>Kick Sauber</v>
      </c>
      <c r="F678" s="51" t="s">
        <v>320</v>
      </c>
      <c r="G678" s="72"/>
      <c r="H678" s="72"/>
      <c r="I678" s="72"/>
      <c r="K678" s="78"/>
      <c r="M678" s="130"/>
      <c r="N678" s="130"/>
      <c r="O678" s="130"/>
    </row>
    <row r="679" spans="1:24" x14ac:dyDescent="0.2">
      <c r="B679" s="60">
        <f>$J$20</f>
        <v>19</v>
      </c>
      <c r="C679" s="48" t="s">
        <v>334</v>
      </c>
      <c r="D679" s="49" t="str">
        <f>IF(C679&lt;&gt;"",VLOOKUP(C679,'Dummy Table'!$B$3:$C$30,2,FALSE),"")</f>
        <v>Austrália</v>
      </c>
      <c r="E679" s="49" t="str">
        <f>IF(C679&lt;&gt;"",VLOOKUP(C679,'Dummy Table'!$B$3:$D$30,3,FALSE),"")</f>
        <v>McLaren 🏆</v>
      </c>
      <c r="F679" s="51" t="s">
        <v>320</v>
      </c>
      <c r="G679" s="72"/>
      <c r="H679" s="72"/>
      <c r="I679" s="72"/>
      <c r="M679" s="130"/>
      <c r="N679" s="130"/>
      <c r="O679" s="130"/>
    </row>
    <row r="680" spans="1:24" x14ac:dyDescent="0.2">
      <c r="B680" s="60">
        <f>$J$21</f>
        <v>20</v>
      </c>
      <c r="C680" s="48" t="s">
        <v>400</v>
      </c>
      <c r="D680" s="49" t="str">
        <f>IF(C680&lt;&gt;"",VLOOKUP(C680,'Dummy Table'!$B$3:$C$30,2,FALSE),"")</f>
        <v>Argentina</v>
      </c>
      <c r="E680" s="49" t="str">
        <f>IF(C680&lt;&gt;"",VLOOKUP(C680,'Dummy Table'!$B$3:$D$30,3,FALSE),"")</f>
        <v>Alpine</v>
      </c>
      <c r="F680" s="51" t="s">
        <v>320</v>
      </c>
      <c r="G680" s="72"/>
      <c r="H680" s="72"/>
      <c r="I680" s="72"/>
      <c r="K680" s="71"/>
      <c r="M680" s="130"/>
      <c r="N680" s="130"/>
      <c r="O680" s="130"/>
    </row>
    <row r="681" spans="1:24" hidden="1" x14ac:dyDescent="0.2">
      <c r="B681" s="60"/>
      <c r="C681" s="48"/>
      <c r="D681" s="49"/>
      <c r="E681" s="49"/>
      <c r="F681" s="51"/>
      <c r="G681" s="72"/>
      <c r="H681" s="72"/>
      <c r="I681" s="72"/>
      <c r="K681" s="71"/>
      <c r="M681" s="130"/>
      <c r="N681" s="130"/>
      <c r="O681" s="130"/>
    </row>
    <row r="682" spans="1:24" x14ac:dyDescent="0.2">
      <c r="B682" s="134"/>
      <c r="C682" s="136" t="s">
        <v>397</v>
      </c>
      <c r="D682" s="135"/>
      <c r="E682" s="135"/>
      <c r="F682" s="135"/>
      <c r="G682" s="72"/>
      <c r="H682" s="72"/>
      <c r="I682" s="72"/>
      <c r="K682" s="82"/>
      <c r="M682" s="74"/>
      <c r="N682" s="74"/>
      <c r="O682" s="74"/>
      <c r="P682" s="74"/>
      <c r="Q682" s="74"/>
      <c r="R682" s="74"/>
      <c r="S682" s="74"/>
      <c r="T682" s="74"/>
      <c r="V682" s="68"/>
      <c r="W682" s="68"/>
      <c r="X682" s="68"/>
    </row>
    <row r="683" spans="1:24" s="66" customFormat="1" x14ac:dyDescent="0.2">
      <c r="A683" s="62"/>
      <c r="B683" s="61" t="s">
        <v>14</v>
      </c>
      <c r="C683" s="61" t="s">
        <v>29</v>
      </c>
      <c r="D683" s="61" t="s">
        <v>16</v>
      </c>
      <c r="E683" s="61" t="s">
        <v>17</v>
      </c>
      <c r="F683" s="61" t="s">
        <v>18</v>
      </c>
      <c r="J683" s="67"/>
      <c r="M683" s="84"/>
      <c r="N683" s="84"/>
      <c r="O683" s="84"/>
    </row>
    <row r="684" spans="1:24" s="66" customFormat="1" x14ac:dyDescent="0.2">
      <c r="A684" s="62"/>
      <c r="B684" s="59">
        <f>$J$2</f>
        <v>1</v>
      </c>
      <c r="C684" s="48" t="s">
        <v>316</v>
      </c>
      <c r="D684" s="49" t="str">
        <f>IF(C684&lt;&gt;"",VLOOKUP(C684,'Dummy Table'!$B$3:$C$30,2,FALSE),"")</f>
        <v>Inglaterra</v>
      </c>
      <c r="E684" s="49" t="str">
        <f>IF(C684&lt;&gt;"",VLOOKUP(C684,'Dummy Table'!$B$3:$D$30,3,FALSE),"")</f>
        <v>McLaren 🏆</v>
      </c>
      <c r="F684" s="50">
        <v>25</v>
      </c>
      <c r="G684" s="66">
        <f>IF(C684="",F684,0)</f>
        <v>0</v>
      </c>
      <c r="H684" s="66">
        <f>IF(C684="",F684,0)</f>
        <v>0</v>
      </c>
      <c r="I684" s="66">
        <f>IF(C684="",1,0)</f>
        <v>0</v>
      </c>
      <c r="J684" s="67"/>
      <c r="M684" s="84"/>
      <c r="N684" s="84"/>
      <c r="O684" s="84"/>
    </row>
    <row r="685" spans="1:24" s="66" customFormat="1" x14ac:dyDescent="0.2">
      <c r="A685" s="62"/>
      <c r="B685" s="60">
        <f>$J$3</f>
        <v>2</v>
      </c>
      <c r="C685" s="48" t="s">
        <v>336</v>
      </c>
      <c r="D685" s="49" t="str">
        <f>IF(C685&lt;&gt;"",VLOOKUP(C685,'Dummy Table'!$B$3:$C$30,2,FALSE),"")</f>
        <v>Itália</v>
      </c>
      <c r="E685" s="49" t="str">
        <f>IF(C685&lt;&gt;"",VLOOKUP(C685,'Dummy Table'!$B$3:$D$30,3,FALSE),"")</f>
        <v>Mercedes</v>
      </c>
      <c r="F685" s="50">
        <v>18</v>
      </c>
      <c r="H685" s="66">
        <f>IF(C685="",F685,0)</f>
        <v>0</v>
      </c>
      <c r="J685" s="67"/>
      <c r="M685" s="84"/>
      <c r="N685" s="84"/>
      <c r="O685" s="84"/>
    </row>
    <row r="686" spans="1:24" s="66" customFormat="1" x14ac:dyDescent="0.2">
      <c r="A686" s="62"/>
      <c r="B686" s="60">
        <f>$J$4</f>
        <v>3</v>
      </c>
      <c r="C686" s="48" t="s">
        <v>305</v>
      </c>
      <c r="D686" s="49" t="str">
        <f>IF(C686&lt;&gt;"",VLOOKUP(C686,'Dummy Table'!$B$3:$C$30,2,FALSE),"")</f>
        <v>Holanda</v>
      </c>
      <c r="E686" s="49" t="str">
        <f>IF(C686&lt;&gt;"",VLOOKUP(C686,'Dummy Table'!$B$3:$D$30,3,FALSE),"")</f>
        <v>Red Bull</v>
      </c>
      <c r="F686" s="50">
        <v>15</v>
      </c>
      <c r="J686" s="67"/>
      <c r="M686" s="84"/>
      <c r="N686" s="84"/>
      <c r="O686" s="84"/>
    </row>
    <row r="687" spans="1:24" s="66" customFormat="1" x14ac:dyDescent="0.2">
      <c r="A687" s="62"/>
      <c r="B687" s="60">
        <f>$J$5</f>
        <v>4</v>
      </c>
      <c r="C687" s="48" t="s">
        <v>394</v>
      </c>
      <c r="D687" s="49" t="str">
        <f>IF(C687&lt;&gt;"",VLOOKUP(C687,'Dummy Table'!$B$3:$C$30,2,FALSE),"")</f>
        <v>Inglaterra</v>
      </c>
      <c r="E687" s="49" t="str">
        <f>IF(C687&lt;&gt;"",VLOOKUP(C687,'Dummy Table'!$B$3:$D$30,3,FALSE),"")</f>
        <v>Mercedes</v>
      </c>
      <c r="F687" s="50">
        <v>12</v>
      </c>
      <c r="J687" s="67"/>
      <c r="M687" s="84"/>
      <c r="N687" s="84"/>
      <c r="O687" s="84"/>
    </row>
    <row r="688" spans="1:24" s="66" customFormat="1" x14ac:dyDescent="0.2">
      <c r="A688" s="62"/>
      <c r="B688" s="60">
        <f>$J$6</f>
        <v>5</v>
      </c>
      <c r="C688" s="48" t="s">
        <v>334</v>
      </c>
      <c r="D688" s="49" t="str">
        <f>IF(C688&lt;&gt;"",VLOOKUP(C688,'Dummy Table'!$B$3:$C$30,2,FALSE),"")</f>
        <v>Austrália</v>
      </c>
      <c r="E688" s="49" t="str">
        <f>IF(C688&lt;&gt;"",VLOOKUP(C688,'Dummy Table'!$B$3:$D$30,3,FALSE),"")</f>
        <v>McLaren 🏆</v>
      </c>
      <c r="F688" s="50">
        <v>10</v>
      </c>
      <c r="J688" s="67"/>
      <c r="M688" s="84"/>
      <c r="N688" s="84"/>
      <c r="O688" s="84"/>
    </row>
    <row r="689" spans="1:15" s="66" customFormat="1" x14ac:dyDescent="0.2">
      <c r="A689" s="62"/>
      <c r="B689" s="60">
        <f>$J$7</f>
        <v>6</v>
      </c>
      <c r="C689" s="48" t="s">
        <v>338</v>
      </c>
      <c r="D689" s="49" t="str">
        <f>IF(C689&lt;&gt;"",VLOOKUP(C689,'Dummy Table'!$B$3:$C$30,2,FALSE),"")</f>
        <v>Inglaterra</v>
      </c>
      <c r="E689" s="49" t="str">
        <f>IF(C689&lt;&gt;"",VLOOKUP(C689,'Dummy Table'!$B$3:$D$30,3,FALSE),"")</f>
        <v>Haas</v>
      </c>
      <c r="F689" s="50">
        <v>8</v>
      </c>
      <c r="J689" s="67"/>
      <c r="M689" s="84"/>
      <c r="N689" s="84"/>
      <c r="O689" s="84"/>
    </row>
    <row r="690" spans="1:15" s="66" customFormat="1" x14ac:dyDescent="0.2">
      <c r="A690" s="62"/>
      <c r="B690" s="60">
        <f>$J$8</f>
        <v>7</v>
      </c>
      <c r="C690" s="48" t="s">
        <v>335</v>
      </c>
      <c r="D690" s="49" t="str">
        <f>IF(C690&lt;&gt;"",VLOOKUP(C690,'Dummy Table'!$B$3:$C$30,2,FALSE),"")</f>
        <v>Austrália</v>
      </c>
      <c r="E690" s="49" t="str">
        <f>IF(C690&lt;&gt;"",VLOOKUP(C690,'Dummy Table'!$B$3:$D$30,3,FALSE),"")</f>
        <v>Racing Bulls</v>
      </c>
      <c r="F690" s="50">
        <v>6</v>
      </c>
      <c r="J690" s="67"/>
      <c r="M690" s="84"/>
      <c r="N690" s="84"/>
      <c r="O690" s="84"/>
    </row>
    <row r="691" spans="1:15" s="66" customFormat="1" x14ac:dyDescent="0.2">
      <c r="A691" s="62"/>
      <c r="B691" s="60">
        <f>$J$9</f>
        <v>8</v>
      </c>
      <c r="C691" s="48" t="s">
        <v>341</v>
      </c>
      <c r="D691" s="49" t="str">
        <f>IF(C691&lt;&gt;"",VLOOKUP(C691,'Dummy Table'!$B$3:$C$30,2,FALSE),"")</f>
        <v>França</v>
      </c>
      <c r="E691" s="49" t="str">
        <f>IF(C691&lt;&gt;"",VLOOKUP(C691,'Dummy Table'!$B$3:$D$30,3,FALSE),"")</f>
        <v>Racing Bulls</v>
      </c>
      <c r="F691" s="50">
        <v>4</v>
      </c>
      <c r="J691" s="67"/>
      <c r="M691" s="84"/>
      <c r="N691" s="84"/>
      <c r="O691" s="84"/>
    </row>
    <row r="692" spans="1:15" s="66" customFormat="1" x14ac:dyDescent="0.2">
      <c r="A692" s="62"/>
      <c r="B692" s="60">
        <f>$J$10</f>
        <v>9</v>
      </c>
      <c r="C692" s="48" t="s">
        <v>257</v>
      </c>
      <c r="D692" s="49" t="str">
        <f>IF(C692&lt;&gt;"",VLOOKUP(C692,'Dummy Table'!$B$3:$C$30,2,FALSE),"")</f>
        <v>Alemanha</v>
      </c>
      <c r="E692" s="49" t="str">
        <f>IF(C692&lt;&gt;"",VLOOKUP(C692,'Dummy Table'!$B$3:$D$30,3,FALSE),"")</f>
        <v>Kick Sauber</v>
      </c>
      <c r="F692" s="50">
        <v>2</v>
      </c>
      <c r="J692" s="67"/>
      <c r="M692" s="84"/>
      <c r="N692" s="84"/>
      <c r="O692" s="84"/>
    </row>
    <row r="693" spans="1:15" s="66" customFormat="1" x14ac:dyDescent="0.2">
      <c r="A693" s="62"/>
      <c r="B693" s="60">
        <f>$J$11</f>
        <v>10</v>
      </c>
      <c r="C693" s="48" t="s">
        <v>312</v>
      </c>
      <c r="D693" s="49" t="str">
        <f>IF(C693&lt;&gt;"",VLOOKUP(C693,'Dummy Table'!$B$3:$C$30,2,FALSE),"")</f>
        <v>França</v>
      </c>
      <c r="E693" s="49" t="str">
        <f>IF(C693&lt;&gt;"",VLOOKUP(C693,'Dummy Table'!$B$3:$D$30,3,FALSE),"")</f>
        <v>Alpine</v>
      </c>
      <c r="F693" s="50">
        <v>1</v>
      </c>
      <c r="J693" s="67"/>
      <c r="M693" s="84"/>
      <c r="N693" s="84"/>
      <c r="O693" s="84"/>
    </row>
    <row r="694" spans="1:15" s="66" customFormat="1" x14ac:dyDescent="0.2">
      <c r="A694" s="62"/>
      <c r="B694" s="60">
        <f>$J$12</f>
        <v>11</v>
      </c>
      <c r="C694" s="48" t="s">
        <v>315</v>
      </c>
      <c r="D694" s="49" t="str">
        <f>IF(C694&lt;&gt;"",VLOOKUP(C694,'Dummy Table'!$B$3:$C$30,2,FALSE),"")</f>
        <v>Tailandia</v>
      </c>
      <c r="E694" s="49" t="str">
        <f>IF(C694&lt;&gt;"",VLOOKUP(C694,'Dummy Table'!$B$3:$D$30,3,FALSE),"")</f>
        <v>Williams</v>
      </c>
      <c r="F694" s="51"/>
      <c r="J694" s="67"/>
      <c r="M694" s="84"/>
      <c r="N694" s="84"/>
      <c r="O694" s="84"/>
    </row>
    <row r="695" spans="1:15" s="66" customFormat="1" x14ac:dyDescent="0.2">
      <c r="A695" s="62"/>
      <c r="B695" s="60">
        <f>$J$13</f>
        <v>12</v>
      </c>
      <c r="C695" s="48" t="s">
        <v>319</v>
      </c>
      <c r="D695" s="49" t="str">
        <f>IF(C695&lt;&gt;"",VLOOKUP(C695,'Dummy Table'!$B$3:$C$30,2,FALSE),"")</f>
        <v>França</v>
      </c>
      <c r="E695" s="49" t="str">
        <f>IF(C695&lt;&gt;"",VLOOKUP(C695,'Dummy Table'!$B$3:$D$30,3,FALSE),"")</f>
        <v>Haas</v>
      </c>
      <c r="F695" s="51"/>
      <c r="J695" s="67"/>
      <c r="M695" s="84"/>
      <c r="N695" s="84"/>
      <c r="O695" s="84"/>
    </row>
    <row r="696" spans="1:15" s="66" customFormat="1" x14ac:dyDescent="0.2">
      <c r="A696" s="62"/>
      <c r="B696" s="60">
        <f>$J$14</f>
        <v>13</v>
      </c>
      <c r="C696" s="48" t="s">
        <v>343</v>
      </c>
      <c r="D696" s="49" t="str">
        <f>IF(C696&lt;&gt;"",VLOOKUP(C696,'Dummy Table'!$B$3:$C$30,2,FALSE),"")</f>
        <v>Espanha</v>
      </c>
      <c r="E696" s="49" t="str">
        <f>IF(C696&lt;&gt;"",VLOOKUP(C696,'Dummy Table'!$B$3:$D$30,3,FALSE),"")</f>
        <v>Williams</v>
      </c>
      <c r="F696" s="51"/>
      <c r="G696" s="72"/>
      <c r="H696" s="72"/>
      <c r="I696" s="72"/>
      <c r="J696" s="67"/>
      <c r="M696" s="84"/>
      <c r="N696" s="84"/>
      <c r="O696" s="84"/>
    </row>
    <row r="697" spans="1:15" s="66" customFormat="1" x14ac:dyDescent="0.2">
      <c r="A697" s="62"/>
      <c r="B697" s="60">
        <f>$J$15</f>
        <v>14</v>
      </c>
      <c r="C697" s="48" t="s">
        <v>30</v>
      </c>
      <c r="D697" s="49" t="str">
        <f>IF(C697&lt;&gt;"",VLOOKUP(C697,'Dummy Table'!$B$3:$C$30,2,FALSE),"")</f>
        <v>Espanha</v>
      </c>
      <c r="E697" s="49" t="str">
        <f>IF(C697&lt;&gt;"",VLOOKUP(C697,'Dummy Table'!$B$3:$D$30,3,FALSE),"")</f>
        <v>Aston Martin</v>
      </c>
      <c r="F697" s="51"/>
      <c r="G697" s="72"/>
      <c r="H697" s="72"/>
      <c r="I697" s="72"/>
      <c r="J697" s="67"/>
      <c r="M697" s="84"/>
      <c r="N697" s="84"/>
      <c r="O697" s="84"/>
    </row>
    <row r="698" spans="1:15" s="66" customFormat="1" x14ac:dyDescent="0.2">
      <c r="A698" s="62"/>
      <c r="B698" s="60">
        <f>$J$16</f>
        <v>15</v>
      </c>
      <c r="C698" s="48" t="s">
        <v>400</v>
      </c>
      <c r="D698" s="49" t="str">
        <f>IF(C698&lt;&gt;"",VLOOKUP(C698,'Dummy Table'!$B$3:$C$30,2,FALSE),"")</f>
        <v>Argentina</v>
      </c>
      <c r="E698" s="49" t="str">
        <f>IF(C698&lt;&gt;"",VLOOKUP(C698,'Dummy Table'!$B$3:$D$30,3,FALSE),"")</f>
        <v>Alpine</v>
      </c>
      <c r="F698" s="51"/>
      <c r="G698" s="72"/>
      <c r="H698" s="72"/>
      <c r="I698" s="72"/>
      <c r="J698" s="67"/>
      <c r="M698" s="84"/>
      <c r="N698" s="84"/>
      <c r="O698" s="84"/>
    </row>
    <row r="699" spans="1:15" s="66" customFormat="1" x14ac:dyDescent="0.2">
      <c r="A699" s="62"/>
      <c r="B699" s="60">
        <f>$J$17</f>
        <v>16</v>
      </c>
      <c r="C699" s="48" t="s">
        <v>311</v>
      </c>
      <c r="D699" s="49" t="str">
        <f>IF(C699&lt;&gt;"",VLOOKUP(C699,'Dummy Table'!$B$3:$C$30,2,FALSE),"")</f>
        <v>Canadá</v>
      </c>
      <c r="E699" s="49" t="str">
        <f>IF(C699&lt;&gt;"",VLOOKUP(C699,'Dummy Table'!$B$3:$D$30,3,FALSE),"")</f>
        <v>Aston Martin</v>
      </c>
      <c r="F699" s="51"/>
      <c r="G699" s="72"/>
      <c r="H699" s="72"/>
      <c r="I699" s="72"/>
      <c r="J699" s="67"/>
      <c r="M699" s="84"/>
      <c r="N699" s="84"/>
      <c r="O699" s="84"/>
    </row>
    <row r="700" spans="1:15" s="66" customFormat="1" x14ac:dyDescent="0.2">
      <c r="A700" s="62"/>
      <c r="B700" s="60">
        <f>$J$18</f>
        <v>17</v>
      </c>
      <c r="C700" s="48" t="s">
        <v>339</v>
      </c>
      <c r="D700" s="49" t="str">
        <f>IF(C700&lt;&gt;"",VLOOKUP(C700,'Dummy Table'!$B$3:$C$30,2,FALSE),"")</f>
        <v>Japão</v>
      </c>
      <c r="E700" s="49" t="str">
        <f>IF(C700&lt;&gt;"",VLOOKUP(C700,'Dummy Table'!$B$3:$D$30,3,FALSE),"")</f>
        <v>Red Bull</v>
      </c>
      <c r="F700" s="51"/>
      <c r="G700" s="72"/>
      <c r="H700" s="72"/>
      <c r="I700" s="72"/>
      <c r="J700" s="67"/>
      <c r="M700" s="84"/>
      <c r="N700" s="84"/>
      <c r="O700" s="84"/>
    </row>
    <row r="701" spans="1:15" s="66" customFormat="1" x14ac:dyDescent="0.2">
      <c r="A701" s="62"/>
      <c r="B701" s="60">
        <f>$J$19</f>
        <v>18</v>
      </c>
      <c r="C701" s="48" t="s">
        <v>1</v>
      </c>
      <c r="D701" s="49" t="str">
        <f>IF(C701&lt;&gt;"",VLOOKUP(C701,'Dummy Table'!$B$3:$C$30,2,FALSE),"")</f>
        <v>Inglaterra</v>
      </c>
      <c r="E701" s="49" t="str">
        <f>IF(C701&lt;&gt;"",VLOOKUP(C701,'Dummy Table'!$B$3:$D$30,3,FALSE),"")</f>
        <v>Ferrari</v>
      </c>
      <c r="F701" s="51" t="s">
        <v>320</v>
      </c>
      <c r="G701" s="72"/>
      <c r="H701" s="72"/>
      <c r="I701" s="72"/>
      <c r="J701" s="67"/>
      <c r="M701" s="84"/>
      <c r="N701" s="84"/>
      <c r="O701" s="84"/>
    </row>
    <row r="702" spans="1:15" s="66" customFormat="1" x14ac:dyDescent="0.2">
      <c r="A702" s="62"/>
      <c r="B702" s="60">
        <f>$J$20</f>
        <v>19</v>
      </c>
      <c r="C702" s="48" t="s">
        <v>313</v>
      </c>
      <c r="D702" s="49" t="str">
        <f>IF(C702&lt;&gt;"",VLOOKUP(C702,'Dummy Table'!$B$3:$C$30,2,FALSE),"")</f>
        <v>Mônaco</v>
      </c>
      <c r="E702" s="49" t="str">
        <f>IF(C702&lt;&gt;"",VLOOKUP(C702,'Dummy Table'!$B$3:$D$30,3,FALSE),"")</f>
        <v>Ferrari</v>
      </c>
      <c r="F702" s="51" t="s">
        <v>320</v>
      </c>
      <c r="G702" s="72"/>
      <c r="H702" s="72"/>
      <c r="I702" s="72"/>
      <c r="J702" s="67"/>
      <c r="M702" s="84"/>
      <c r="N702" s="84"/>
      <c r="O702" s="84"/>
    </row>
    <row r="703" spans="1:15" s="66" customFormat="1" x14ac:dyDescent="0.2">
      <c r="A703" s="62"/>
      <c r="B703" s="60">
        <f>$J$21</f>
        <v>20</v>
      </c>
      <c r="C703" s="48" t="s">
        <v>344</v>
      </c>
      <c r="D703" s="49" t="str">
        <f>IF(C703&lt;&gt;"",VLOOKUP(C703,'Dummy Table'!$B$3:$C$30,2,FALSE),"")</f>
        <v>Brasil</v>
      </c>
      <c r="E703" s="49" t="str">
        <f>IF(C703&lt;&gt;"",VLOOKUP(C703,'Dummy Table'!$B$3:$D$30,3,FALSE),"")</f>
        <v>Kick Sauber</v>
      </c>
      <c r="F703" s="51" t="s">
        <v>320</v>
      </c>
      <c r="G703" s="72"/>
      <c r="H703" s="72"/>
      <c r="I703" s="72"/>
      <c r="J703" s="67"/>
      <c r="M703" s="84"/>
      <c r="N703" s="84"/>
      <c r="O703" s="84"/>
    </row>
    <row r="704" spans="1:15" s="66" customFormat="1" hidden="1" x14ac:dyDescent="0.2">
      <c r="A704" s="62"/>
      <c r="B704" s="76">
        <f>$J$22</f>
        <v>21</v>
      </c>
      <c r="C704" s="75"/>
      <c r="D704" s="65" t="str">
        <f>IF(C704&lt;&gt;"",VLOOKUP(C704,'Dummy Table'!$B$3:$C$30,2,FALSE),"")</f>
        <v/>
      </c>
      <c r="E704" s="65" t="str">
        <f>IF(C704&lt;&gt;"",VLOOKUP(C704,'Dummy Table'!$B$3:$D$30,3,FALSE),"")</f>
        <v/>
      </c>
      <c r="F704" s="77"/>
      <c r="G704" s="72"/>
      <c r="H704" s="72"/>
      <c r="I704" s="72"/>
      <c r="J704" s="67"/>
      <c r="M704" s="84"/>
      <c r="N704" s="84"/>
      <c r="O704" s="84"/>
    </row>
    <row r="705" spans="1:15" s="66" customFormat="1" hidden="1" x14ac:dyDescent="0.2">
      <c r="A705" s="62"/>
      <c r="B705" s="76" t="str">
        <f>$J$23</f>
        <v/>
      </c>
      <c r="C705" s="75"/>
      <c r="D705" s="65" t="str">
        <f>IF(C705&lt;&gt;"",VLOOKUP(C705,'Dummy Table'!$B$3:$C$30,2,FALSE),"")</f>
        <v/>
      </c>
      <c r="E705" s="65" t="str">
        <f>IF(C705&lt;&gt;"",VLOOKUP(C705,'Dummy Table'!$B$3:$D$30,3,FALSE),"")</f>
        <v/>
      </c>
      <c r="F705" s="80"/>
      <c r="G705" s="72"/>
      <c r="H705" s="72"/>
      <c r="I705" s="72"/>
      <c r="J705" s="67"/>
      <c r="M705" s="84"/>
      <c r="N705" s="84"/>
      <c r="O705" s="84"/>
    </row>
    <row r="706" spans="1:15" s="66" customFormat="1" hidden="1" x14ac:dyDescent="0.2">
      <c r="A706" s="62"/>
      <c r="B706" s="76" t="str">
        <f>IF(F706="",$J$24,"Ret")</f>
        <v/>
      </c>
      <c r="C706" s="75"/>
      <c r="D706" s="65" t="str">
        <f>IF(C706&lt;&gt;"",VLOOKUP(C706,'Dummy Table'!$B$3:$C$30,2,FALSE),"")</f>
        <v/>
      </c>
      <c r="E706" s="65" t="str">
        <f>IF(C706&lt;&gt;"",VLOOKUP(C706,'Dummy Table'!$B$3:$D$30,3,FALSE),"")</f>
        <v/>
      </c>
      <c r="F706" s="81"/>
      <c r="G706" s="72"/>
      <c r="H706" s="72"/>
      <c r="I706" s="72"/>
      <c r="J706" s="67"/>
      <c r="M706" s="84"/>
      <c r="N706" s="84"/>
      <c r="O706" s="84"/>
    </row>
    <row r="707" spans="1:15" s="66" customFormat="1" hidden="1" x14ac:dyDescent="0.2">
      <c r="A707" s="62"/>
      <c r="B707" s="76" t="str">
        <f>IF(F707="",$J$25,"Ret")</f>
        <v/>
      </c>
      <c r="C707" s="75"/>
      <c r="D707" s="65" t="str">
        <f>IF(C707&lt;&gt;"",VLOOKUP(C707,'Dummy Table'!$B$3:$C$30,2,FALSE),"")</f>
        <v/>
      </c>
      <c r="E707" s="65" t="str">
        <f>IF(C707&lt;&gt;"",VLOOKUP(C707,'Dummy Table'!$B$3:$D$30,3,FALSE),"")</f>
        <v/>
      </c>
      <c r="F707" s="81"/>
      <c r="G707" s="72"/>
      <c r="H707" s="72"/>
      <c r="I707" s="72"/>
      <c r="J707" s="67"/>
      <c r="M707" s="84"/>
      <c r="N707" s="84"/>
      <c r="O707" s="84"/>
    </row>
    <row r="708" spans="1:15" s="66" customFormat="1" x14ac:dyDescent="0.2">
      <c r="A708" s="62"/>
      <c r="B708" s="52" t="s">
        <v>248</v>
      </c>
      <c r="C708" s="53" t="s">
        <v>316</v>
      </c>
      <c r="D708" s="54" t="str">
        <f>IF(C708&lt;&gt;"",VLOOKUP(C708,'Dummy Table'!$B$3:$C$30,2,FALSE),"")</f>
        <v>Inglaterra</v>
      </c>
      <c r="E708" s="54" t="str">
        <f>IF(C708&lt;&gt;"",VLOOKUP(C708,'Dummy Table'!$B$3:$D$30,3,FALSE),"")</f>
        <v>McLaren 🏆</v>
      </c>
      <c r="F708" s="55"/>
      <c r="H708" s="72"/>
      <c r="J708" s="67"/>
      <c r="M708" s="84"/>
      <c r="N708" s="84"/>
      <c r="O708" s="84"/>
    </row>
    <row r="709" spans="1:15" s="66" customFormat="1" x14ac:dyDescent="0.2">
      <c r="A709" s="62"/>
      <c r="B709" s="56" t="s">
        <v>238</v>
      </c>
      <c r="C709" s="57" t="s">
        <v>315</v>
      </c>
      <c r="D709" s="54" t="str">
        <f>IF(C709&lt;&gt;"",VLOOKUP(C709,'Dummy Table'!$B$3:$C$30,2,FALSE),"")</f>
        <v>Tailandia</v>
      </c>
      <c r="E709" s="54" t="str">
        <f>IF(C709&lt;&gt;"",VLOOKUP(C709,'Dummy Table'!$B$3:$D$30,3,FALSE),"")</f>
        <v>Williams</v>
      </c>
      <c r="F709" s="58"/>
      <c r="H709" s="66">
        <f>IF(C709="",F709,0)</f>
        <v>0</v>
      </c>
      <c r="J709" s="67"/>
      <c r="M709" s="84"/>
      <c r="N709" s="84"/>
      <c r="O709" s="84"/>
    </row>
    <row r="710" spans="1:15" s="66" customFormat="1" x14ac:dyDescent="0.2">
      <c r="A710" s="62">
        <v>22</v>
      </c>
      <c r="B710" s="129">
        <f>VLOOKUP($A710,'Calendário atual'!$A$2:$E$30,2,FALSE)</f>
        <v>45983</v>
      </c>
      <c r="C710" s="162" t="str">
        <f>VLOOKUP($A710,'Calendário atual'!$A$2:$E$30,4,FALSE)</f>
        <v>FORMULA 1 HEINEKEN LAS VEGAS GRAND PRIX 2025</v>
      </c>
      <c r="D710" s="162"/>
      <c r="E710" s="162"/>
      <c r="F710" s="129" t="str">
        <f>VLOOKUP($A710,'Calendário atual'!$A$2:$E$30,3,FALSE)</f>
        <v>USA</v>
      </c>
      <c r="G710" s="72"/>
      <c r="H710" s="72"/>
      <c r="I710" s="72"/>
      <c r="J710" s="67"/>
      <c r="M710" s="84"/>
      <c r="N710" s="84"/>
      <c r="O710" s="84"/>
    </row>
    <row r="711" spans="1:15" s="66" customFormat="1" x14ac:dyDescent="0.2">
      <c r="A711" s="62"/>
      <c r="B711" s="61" t="s">
        <v>14</v>
      </c>
      <c r="C711" s="61" t="s">
        <v>29</v>
      </c>
      <c r="D711" s="61" t="s">
        <v>16</v>
      </c>
      <c r="E711" s="61" t="s">
        <v>17</v>
      </c>
      <c r="F711" s="61" t="s">
        <v>18</v>
      </c>
      <c r="J711" s="67"/>
      <c r="M711" s="84"/>
      <c r="N711" s="84"/>
      <c r="O711" s="84"/>
    </row>
    <row r="712" spans="1:15" s="66" customFormat="1" x14ac:dyDescent="0.2">
      <c r="A712" s="62"/>
      <c r="B712" s="59">
        <f>$J$2</f>
        <v>1</v>
      </c>
      <c r="C712" s="48" t="s">
        <v>305</v>
      </c>
      <c r="D712" s="49" t="str">
        <f>IF(C712&lt;&gt;"",VLOOKUP(C712,'Dummy Table'!$B$3:$C$30,2,FALSE),"")</f>
        <v>Holanda</v>
      </c>
      <c r="E712" s="49" t="str">
        <f>IF(C712&lt;&gt;"",VLOOKUP(C712,'Dummy Table'!$B$3:$D$30,3,FALSE),"")</f>
        <v>Red Bull</v>
      </c>
      <c r="F712" s="50">
        <v>25</v>
      </c>
      <c r="G712" s="66">
        <f>IF(C712="",F712,0)</f>
        <v>0</v>
      </c>
      <c r="H712" s="66">
        <f>IF(C712="",F712,0)</f>
        <v>0</v>
      </c>
      <c r="I712" s="66">
        <f>IF(C712="",1,0)</f>
        <v>0</v>
      </c>
      <c r="J712" s="67"/>
      <c r="M712" s="84"/>
      <c r="N712" s="84"/>
      <c r="O712" s="84"/>
    </row>
    <row r="713" spans="1:15" s="66" customFormat="1" x14ac:dyDescent="0.2">
      <c r="A713" s="62"/>
      <c r="B713" s="60">
        <f>$J$3</f>
        <v>2</v>
      </c>
      <c r="C713" s="48" t="s">
        <v>394</v>
      </c>
      <c r="D713" s="49" t="str">
        <f>IF(C713&lt;&gt;"",VLOOKUP(C713,'Dummy Table'!$B$3:$C$30,2,FALSE),"")</f>
        <v>Inglaterra</v>
      </c>
      <c r="E713" s="49" t="str">
        <f>IF(C713&lt;&gt;"",VLOOKUP(C713,'Dummy Table'!$B$3:$D$30,3,FALSE),"")</f>
        <v>Mercedes</v>
      </c>
      <c r="F713" s="50">
        <v>18</v>
      </c>
      <c r="H713" s="66">
        <f>IF(C713="",F713,0)</f>
        <v>0</v>
      </c>
      <c r="J713" s="67"/>
      <c r="M713" s="84"/>
      <c r="N713" s="84"/>
      <c r="O713" s="84"/>
    </row>
    <row r="714" spans="1:15" s="66" customFormat="1" x14ac:dyDescent="0.2">
      <c r="A714" s="62"/>
      <c r="B714" s="60">
        <f>$J$4</f>
        <v>3</v>
      </c>
      <c r="C714" s="48" t="s">
        <v>336</v>
      </c>
      <c r="D714" s="49" t="str">
        <f>IF(C714&lt;&gt;"",VLOOKUP(C714,'Dummy Table'!$B$3:$C$30,2,FALSE),"")</f>
        <v>Itália</v>
      </c>
      <c r="E714" s="49" t="str">
        <f>IF(C714&lt;&gt;"",VLOOKUP(C714,'Dummy Table'!$B$3:$D$30,3,FALSE),"")</f>
        <v>Mercedes</v>
      </c>
      <c r="F714" s="50">
        <v>15</v>
      </c>
      <c r="J714" s="67"/>
      <c r="M714" s="84"/>
      <c r="N714" s="84"/>
      <c r="O714" s="84"/>
    </row>
    <row r="715" spans="1:15" s="66" customFormat="1" x14ac:dyDescent="0.2">
      <c r="A715" s="62"/>
      <c r="B715" s="60">
        <f>$J$5</f>
        <v>4</v>
      </c>
      <c r="C715" s="48" t="s">
        <v>313</v>
      </c>
      <c r="D715" s="49" t="str">
        <f>IF(C715&lt;&gt;"",VLOOKUP(C715,'Dummy Table'!$B$3:$C$30,2,FALSE),"")</f>
        <v>Mônaco</v>
      </c>
      <c r="E715" s="49" t="str">
        <f>IF(C715&lt;&gt;"",VLOOKUP(C715,'Dummy Table'!$B$3:$D$30,3,FALSE),"")</f>
        <v>Ferrari</v>
      </c>
      <c r="F715" s="50">
        <v>12</v>
      </c>
      <c r="J715" s="67"/>
      <c r="M715" s="84"/>
      <c r="N715" s="84"/>
      <c r="O715" s="84"/>
    </row>
    <row r="716" spans="1:15" s="66" customFormat="1" x14ac:dyDescent="0.2">
      <c r="A716" s="62"/>
      <c r="B716" s="60">
        <f>$J$6</f>
        <v>5</v>
      </c>
      <c r="C716" s="48" t="s">
        <v>343</v>
      </c>
      <c r="D716" s="49" t="str">
        <f>IF(C716&lt;&gt;"",VLOOKUP(C716,'Dummy Table'!$B$3:$C$30,2,FALSE),"")</f>
        <v>Espanha</v>
      </c>
      <c r="E716" s="49" t="str">
        <f>IF(C716&lt;&gt;"",VLOOKUP(C716,'Dummy Table'!$B$3:$D$30,3,FALSE),"")</f>
        <v>Williams</v>
      </c>
      <c r="F716" s="50">
        <v>10</v>
      </c>
      <c r="J716" s="67"/>
      <c r="M716" s="84"/>
      <c r="N716" s="84"/>
      <c r="O716" s="84"/>
    </row>
    <row r="717" spans="1:15" s="66" customFormat="1" x14ac:dyDescent="0.2">
      <c r="A717" s="62"/>
      <c r="B717" s="60">
        <f>$J$7</f>
        <v>6</v>
      </c>
      <c r="C717" s="48" t="s">
        <v>341</v>
      </c>
      <c r="D717" s="49" t="str">
        <f>IF(C717&lt;&gt;"",VLOOKUP(C717,'Dummy Table'!$B$3:$C$30,2,FALSE),"")</f>
        <v>França</v>
      </c>
      <c r="E717" s="49" t="str">
        <f>IF(C717&lt;&gt;"",VLOOKUP(C717,'Dummy Table'!$B$3:$D$30,3,FALSE),"")</f>
        <v>Racing Bulls</v>
      </c>
      <c r="F717" s="50">
        <v>8</v>
      </c>
      <c r="J717" s="67"/>
      <c r="M717" s="84"/>
      <c r="N717" s="84"/>
      <c r="O717" s="84"/>
    </row>
    <row r="718" spans="1:15" s="66" customFormat="1" x14ac:dyDescent="0.2">
      <c r="A718" s="62"/>
      <c r="B718" s="60">
        <f>$J$8</f>
        <v>7</v>
      </c>
      <c r="C718" s="48" t="s">
        <v>257</v>
      </c>
      <c r="D718" s="49" t="str">
        <f>IF(C718&lt;&gt;"",VLOOKUP(C718,'Dummy Table'!$B$3:$C$30,2,FALSE),"")</f>
        <v>Alemanha</v>
      </c>
      <c r="E718" s="49" t="str">
        <f>IF(C718&lt;&gt;"",VLOOKUP(C718,'Dummy Table'!$B$3:$D$30,3,FALSE),"")</f>
        <v>Kick Sauber</v>
      </c>
      <c r="F718" s="50">
        <v>6</v>
      </c>
      <c r="J718" s="67"/>
      <c r="M718" s="84"/>
      <c r="N718" s="84"/>
      <c r="O718" s="84"/>
    </row>
    <row r="719" spans="1:15" s="66" customFormat="1" x14ac:dyDescent="0.2">
      <c r="A719" s="62"/>
      <c r="B719" s="60">
        <f>$J$9</f>
        <v>8</v>
      </c>
      <c r="C719" s="48" t="s">
        <v>1</v>
      </c>
      <c r="D719" s="49" t="str">
        <f>IF(C719&lt;&gt;"",VLOOKUP(C719,'Dummy Table'!$B$3:$C$30,2,FALSE),"")</f>
        <v>Inglaterra</v>
      </c>
      <c r="E719" s="49" t="str">
        <f>IF(C719&lt;&gt;"",VLOOKUP(C719,'Dummy Table'!$B$3:$D$30,3,FALSE),"")</f>
        <v>Ferrari</v>
      </c>
      <c r="F719" s="50">
        <v>4</v>
      </c>
      <c r="J719" s="67"/>
      <c r="M719" s="84"/>
      <c r="N719" s="84"/>
      <c r="O719" s="84"/>
    </row>
    <row r="720" spans="1:15" s="66" customFormat="1" x14ac:dyDescent="0.2">
      <c r="A720" s="62"/>
      <c r="B720" s="60">
        <f>$J$10</f>
        <v>9</v>
      </c>
      <c r="C720" s="48" t="s">
        <v>319</v>
      </c>
      <c r="D720" s="49" t="str">
        <f>IF(C720&lt;&gt;"",VLOOKUP(C720,'Dummy Table'!$B$3:$C$30,2,FALSE),"")</f>
        <v>França</v>
      </c>
      <c r="E720" s="49" t="str">
        <f>IF(C720&lt;&gt;"",VLOOKUP(C720,'Dummy Table'!$B$3:$D$30,3,FALSE),"")</f>
        <v>Haas</v>
      </c>
      <c r="F720" s="50">
        <v>2</v>
      </c>
      <c r="J720" s="67"/>
      <c r="M720" s="84"/>
      <c r="N720" s="84"/>
      <c r="O720" s="84"/>
    </row>
    <row r="721" spans="1:15" s="66" customFormat="1" x14ac:dyDescent="0.2">
      <c r="A721" s="62"/>
      <c r="B721" s="60">
        <f>$J$11</f>
        <v>10</v>
      </c>
      <c r="C721" s="48" t="s">
        <v>338</v>
      </c>
      <c r="D721" s="49" t="str">
        <f>IF(C721&lt;&gt;"",VLOOKUP(C721,'Dummy Table'!$B$3:$C$30,2,FALSE),"")</f>
        <v>Inglaterra</v>
      </c>
      <c r="E721" s="49" t="str">
        <f>IF(C721&lt;&gt;"",VLOOKUP(C721,'Dummy Table'!$B$3:$D$30,3,FALSE),"")</f>
        <v>Haas</v>
      </c>
      <c r="F721" s="50">
        <v>1</v>
      </c>
      <c r="J721" s="67"/>
      <c r="M721" s="84"/>
      <c r="N721" s="84"/>
      <c r="O721" s="84"/>
    </row>
    <row r="722" spans="1:15" s="66" customFormat="1" x14ac:dyDescent="0.2">
      <c r="A722" s="62"/>
      <c r="B722" s="60">
        <f>$J$12</f>
        <v>11</v>
      </c>
      <c r="C722" s="48" t="s">
        <v>30</v>
      </c>
      <c r="D722" s="49" t="str">
        <f>IF(C722&lt;&gt;"",VLOOKUP(C722,'Dummy Table'!$B$3:$C$30,2,FALSE),"")</f>
        <v>Espanha</v>
      </c>
      <c r="E722" s="49" t="str">
        <f>IF(C722&lt;&gt;"",VLOOKUP(C722,'Dummy Table'!$B$3:$D$30,3,FALSE),"")</f>
        <v>Aston Martin</v>
      </c>
      <c r="F722" s="51"/>
      <c r="J722" s="67"/>
      <c r="M722" s="84"/>
      <c r="N722" s="84"/>
      <c r="O722" s="84"/>
    </row>
    <row r="723" spans="1:15" s="66" customFormat="1" x14ac:dyDescent="0.2">
      <c r="A723" s="62"/>
      <c r="B723" s="60">
        <f>$J$13</f>
        <v>12</v>
      </c>
      <c r="C723" s="48" t="s">
        <v>339</v>
      </c>
      <c r="D723" s="49" t="str">
        <f>IF(C723&lt;&gt;"",VLOOKUP(C723,'Dummy Table'!$B$3:$C$30,2,FALSE),"")</f>
        <v>Japão</v>
      </c>
      <c r="E723" s="49" t="str">
        <f>IF(C723&lt;&gt;"",VLOOKUP(C723,'Dummy Table'!$B$3:$D$30,3,FALSE),"")</f>
        <v>Red Bull</v>
      </c>
      <c r="F723" s="51"/>
      <c r="J723" s="67"/>
      <c r="M723" s="84"/>
      <c r="N723" s="84"/>
      <c r="O723" s="84"/>
    </row>
    <row r="724" spans="1:15" s="66" customFormat="1" x14ac:dyDescent="0.2">
      <c r="A724" s="62"/>
      <c r="B724" s="60">
        <f>$J$14</f>
        <v>13</v>
      </c>
      <c r="C724" s="48" t="s">
        <v>312</v>
      </c>
      <c r="D724" s="49" t="str">
        <f>IF(C724&lt;&gt;"",VLOOKUP(C724,'Dummy Table'!$B$3:$C$30,2,FALSE),"")</f>
        <v>França</v>
      </c>
      <c r="E724" s="49" t="str">
        <f>IF(C724&lt;&gt;"",VLOOKUP(C724,'Dummy Table'!$B$3:$D$30,3,FALSE),"")</f>
        <v>Alpine</v>
      </c>
      <c r="F724" s="51"/>
      <c r="G724" s="72"/>
      <c r="H724" s="72"/>
      <c r="I724" s="72"/>
      <c r="J724" s="67"/>
      <c r="M724" s="84"/>
      <c r="N724" s="84"/>
      <c r="O724" s="84"/>
    </row>
    <row r="725" spans="1:15" s="66" customFormat="1" x14ac:dyDescent="0.2">
      <c r="A725" s="62"/>
      <c r="B725" s="60">
        <f>$J$15</f>
        <v>14</v>
      </c>
      <c r="C725" s="48" t="s">
        <v>335</v>
      </c>
      <c r="D725" s="49" t="str">
        <f>IF(C725&lt;&gt;"",VLOOKUP(C725,'Dummy Table'!$B$3:$C$30,2,FALSE),"")</f>
        <v>Austrália</v>
      </c>
      <c r="E725" s="49" t="str">
        <f>IF(C725&lt;&gt;"",VLOOKUP(C725,'Dummy Table'!$B$3:$D$30,3,FALSE),"")</f>
        <v>Racing Bulls</v>
      </c>
      <c r="F725" s="51"/>
      <c r="G725" s="72"/>
      <c r="H725" s="72"/>
      <c r="I725" s="72"/>
      <c r="J725" s="67"/>
      <c r="M725" s="84"/>
      <c r="N725" s="84"/>
      <c r="O725" s="84"/>
    </row>
    <row r="726" spans="1:15" s="66" customFormat="1" x14ac:dyDescent="0.2">
      <c r="A726" s="62"/>
      <c r="B726" s="60">
        <f>$J$16</f>
        <v>15</v>
      </c>
      <c r="C726" s="48" t="s">
        <v>400</v>
      </c>
      <c r="D726" s="49" t="str">
        <f>IF(C726&lt;&gt;"",VLOOKUP(C726,'Dummy Table'!$B$3:$C$30,2,FALSE),"")</f>
        <v>Argentina</v>
      </c>
      <c r="E726" s="49" t="str">
        <f>IF(C726&lt;&gt;"",VLOOKUP(C726,'Dummy Table'!$B$3:$D$30,3,FALSE),"")</f>
        <v>Alpine</v>
      </c>
      <c r="F726" s="51"/>
      <c r="G726" s="72"/>
      <c r="H726" s="72"/>
      <c r="I726" s="72"/>
      <c r="J726" s="67"/>
      <c r="M726" s="84"/>
      <c r="N726" s="84"/>
      <c r="O726" s="84"/>
    </row>
    <row r="727" spans="1:15" s="66" customFormat="1" x14ac:dyDescent="0.2">
      <c r="A727" s="62"/>
      <c r="B727" s="60">
        <f>$J$17</f>
        <v>16</v>
      </c>
      <c r="C727" s="48" t="s">
        <v>315</v>
      </c>
      <c r="D727" s="49" t="str">
        <f>IF(C727&lt;&gt;"",VLOOKUP(C727,'Dummy Table'!$B$3:$C$30,2,FALSE),"")</f>
        <v>Tailandia</v>
      </c>
      <c r="E727" s="49" t="str">
        <f>IF(C727&lt;&gt;"",VLOOKUP(C727,'Dummy Table'!$B$3:$D$30,3,FALSE),"")</f>
        <v>Williams</v>
      </c>
      <c r="F727" s="51" t="s">
        <v>320</v>
      </c>
      <c r="G727" s="72"/>
      <c r="H727" s="72"/>
      <c r="I727" s="72"/>
      <c r="J727" s="67"/>
      <c r="M727" s="84"/>
      <c r="N727" s="84"/>
      <c r="O727" s="84"/>
    </row>
    <row r="728" spans="1:15" s="66" customFormat="1" x14ac:dyDescent="0.2">
      <c r="A728" s="62"/>
      <c r="B728" s="60">
        <f>$J$18</f>
        <v>17</v>
      </c>
      <c r="C728" s="48" t="s">
        <v>344</v>
      </c>
      <c r="D728" s="49" t="str">
        <f>IF(C728&lt;&gt;"",VLOOKUP(C728,'Dummy Table'!$B$3:$C$30,2,FALSE),"")</f>
        <v>Brasil</v>
      </c>
      <c r="E728" s="49" t="str">
        <f>IF(C728&lt;&gt;"",VLOOKUP(C728,'Dummy Table'!$B$3:$D$30,3,FALSE),"")</f>
        <v>Kick Sauber</v>
      </c>
      <c r="F728" s="51" t="s">
        <v>320</v>
      </c>
      <c r="G728" s="72"/>
      <c r="H728" s="72"/>
      <c r="I728" s="72"/>
      <c r="J728" s="67"/>
      <c r="M728" s="84"/>
      <c r="N728" s="84"/>
      <c r="O728" s="84"/>
    </row>
    <row r="729" spans="1:15" s="66" customFormat="1" x14ac:dyDescent="0.2">
      <c r="A729" s="62"/>
      <c r="B729" s="60">
        <f>$J$19</f>
        <v>18</v>
      </c>
      <c r="C729" s="48" t="s">
        <v>311</v>
      </c>
      <c r="D729" s="49" t="str">
        <f>IF(C729&lt;&gt;"",VLOOKUP(C729,'Dummy Table'!$B$3:$C$30,2,FALSE),"")</f>
        <v>Canadá</v>
      </c>
      <c r="E729" s="49" t="str">
        <f>IF(C729&lt;&gt;"",VLOOKUP(C729,'Dummy Table'!$B$3:$D$30,3,FALSE),"")</f>
        <v>Aston Martin</v>
      </c>
      <c r="F729" s="51" t="s">
        <v>320</v>
      </c>
      <c r="G729" s="72"/>
      <c r="H729" s="72"/>
      <c r="I729" s="72"/>
      <c r="J729" s="67"/>
      <c r="M729" s="84"/>
      <c r="N729" s="84"/>
      <c r="O729" s="84"/>
    </row>
    <row r="730" spans="1:15" s="66" customFormat="1" x14ac:dyDescent="0.2">
      <c r="A730" s="62"/>
      <c r="B730" s="60">
        <f>$J$20</f>
        <v>19</v>
      </c>
      <c r="C730" s="48" t="s">
        <v>316</v>
      </c>
      <c r="D730" s="49" t="str">
        <f>IF(C730&lt;&gt;"",VLOOKUP(C730,'Dummy Table'!$B$3:$C$30,2,FALSE),"")</f>
        <v>Inglaterra</v>
      </c>
      <c r="E730" s="49" t="str">
        <f>IF(C730&lt;&gt;"",VLOOKUP(C730,'Dummy Table'!$B$3:$D$30,3,FALSE),"")</f>
        <v>McLaren 🏆</v>
      </c>
      <c r="F730" s="51" t="s">
        <v>398</v>
      </c>
      <c r="G730" s="72"/>
      <c r="H730" s="72"/>
      <c r="I730" s="72"/>
      <c r="J730" s="67"/>
      <c r="M730" s="84"/>
      <c r="N730" s="84"/>
      <c r="O730" s="84"/>
    </row>
    <row r="731" spans="1:15" s="66" customFormat="1" x14ac:dyDescent="0.2">
      <c r="A731" s="62"/>
      <c r="B731" s="60">
        <f>$J$21</f>
        <v>20</v>
      </c>
      <c r="C731" s="48" t="s">
        <v>334</v>
      </c>
      <c r="D731" s="49" t="str">
        <f>IF(C731&lt;&gt;"",VLOOKUP(C731,'Dummy Table'!$B$3:$C$30,2,FALSE),"")</f>
        <v>Austrália</v>
      </c>
      <c r="E731" s="49" t="str">
        <f>IF(C731&lt;&gt;"",VLOOKUP(C731,'Dummy Table'!$B$3:$D$30,3,FALSE),"")</f>
        <v>McLaren 🏆</v>
      </c>
      <c r="F731" s="51" t="s">
        <v>398</v>
      </c>
      <c r="G731" s="72"/>
      <c r="H731" s="72"/>
      <c r="I731" s="72"/>
      <c r="J731" s="67"/>
      <c r="M731" s="84"/>
      <c r="N731" s="84"/>
      <c r="O731" s="84"/>
    </row>
    <row r="732" spans="1:15" s="66" customFormat="1" hidden="1" x14ac:dyDescent="0.2">
      <c r="A732" s="62"/>
      <c r="B732" s="76">
        <f>$J$22</f>
        <v>21</v>
      </c>
      <c r="C732" s="75"/>
      <c r="D732" s="65" t="str">
        <f>IF(C732&lt;&gt;"",VLOOKUP(C732,'Dummy Table'!$B$3:$C$30,2,FALSE),"")</f>
        <v/>
      </c>
      <c r="E732" s="65" t="str">
        <f>IF(C732&lt;&gt;"",VLOOKUP(C732,'Dummy Table'!$B$3:$D$30,3,FALSE),"")</f>
        <v/>
      </c>
      <c r="F732" s="77"/>
      <c r="G732" s="72"/>
      <c r="H732" s="72"/>
      <c r="I732" s="72"/>
      <c r="J732" s="67"/>
      <c r="M732" s="84"/>
      <c r="N732" s="84"/>
      <c r="O732" s="84"/>
    </row>
    <row r="733" spans="1:15" s="66" customFormat="1" hidden="1" x14ac:dyDescent="0.2">
      <c r="A733" s="62"/>
      <c r="B733" s="76" t="str">
        <f>$J$23</f>
        <v/>
      </c>
      <c r="C733" s="75"/>
      <c r="D733" s="65" t="str">
        <f>IF(C733&lt;&gt;"",VLOOKUP(C733,'Dummy Table'!$B$3:$C$30,2,FALSE),"")</f>
        <v/>
      </c>
      <c r="E733" s="65" t="str">
        <f>IF(C733&lt;&gt;"",VLOOKUP(C733,'Dummy Table'!$B$3:$D$30,3,FALSE),"")</f>
        <v/>
      </c>
      <c r="F733" s="80"/>
      <c r="G733" s="72"/>
      <c r="H733" s="72"/>
      <c r="I733" s="72"/>
      <c r="J733" s="67"/>
      <c r="M733" s="84"/>
      <c r="N733" s="84"/>
      <c r="O733" s="84"/>
    </row>
    <row r="734" spans="1:15" s="66" customFormat="1" hidden="1" x14ac:dyDescent="0.2">
      <c r="A734" s="62"/>
      <c r="B734" s="76" t="str">
        <f>IF(F734="",$J$24,"Ret")</f>
        <v/>
      </c>
      <c r="C734" s="75"/>
      <c r="D734" s="65" t="str">
        <f>IF(C734&lt;&gt;"",VLOOKUP(C734,'Dummy Table'!$B$3:$C$30,2,FALSE),"")</f>
        <v/>
      </c>
      <c r="E734" s="65" t="str">
        <f>IF(C734&lt;&gt;"",VLOOKUP(C734,'Dummy Table'!$B$3:$D$30,3,FALSE),"")</f>
        <v/>
      </c>
      <c r="F734" s="81"/>
      <c r="G734" s="72"/>
      <c r="H734" s="72"/>
      <c r="I734" s="72"/>
      <c r="J734" s="67"/>
      <c r="M734" s="84"/>
      <c r="N734" s="84"/>
      <c r="O734" s="84"/>
    </row>
    <row r="735" spans="1:15" s="66" customFormat="1" hidden="1" x14ac:dyDescent="0.2">
      <c r="A735" s="62"/>
      <c r="B735" s="76" t="str">
        <f>IF(F735="",$J$25,"Ret")</f>
        <v/>
      </c>
      <c r="C735" s="75"/>
      <c r="D735" s="65" t="str">
        <f>IF(C735&lt;&gt;"",VLOOKUP(C735,'Dummy Table'!$B$3:$C$30,2,FALSE),"")</f>
        <v/>
      </c>
      <c r="E735" s="65" t="str">
        <f>IF(C735&lt;&gt;"",VLOOKUP(C735,'Dummy Table'!$B$3:$D$30,3,FALSE),"")</f>
        <v/>
      </c>
      <c r="F735" s="81"/>
      <c r="G735" s="72"/>
      <c r="H735" s="72"/>
      <c r="I735" s="72"/>
      <c r="J735" s="67"/>
      <c r="M735" s="84"/>
      <c r="N735" s="84"/>
      <c r="O735" s="84"/>
    </row>
    <row r="736" spans="1:15" s="66" customFormat="1" x14ac:dyDescent="0.2">
      <c r="A736" s="62"/>
      <c r="B736" s="52" t="s">
        <v>248</v>
      </c>
      <c r="C736" s="53" t="s">
        <v>316</v>
      </c>
      <c r="D736" s="54" t="str">
        <f>IF(C736&lt;&gt;"",VLOOKUP(C736,'Dummy Table'!$B$3:$C$30,2,FALSE),"")</f>
        <v>Inglaterra</v>
      </c>
      <c r="E736" s="54" t="str">
        <f>IF(C736&lt;&gt;"",VLOOKUP(C736,'Dummy Table'!$B$3:$D$30,3,FALSE),"")</f>
        <v>McLaren 🏆</v>
      </c>
      <c r="F736" s="55"/>
      <c r="H736" s="72"/>
      <c r="J736" s="67"/>
      <c r="M736" s="84"/>
      <c r="N736" s="84"/>
      <c r="O736" s="84"/>
    </row>
    <row r="737" spans="1:26" s="66" customFormat="1" x14ac:dyDescent="0.2">
      <c r="A737" s="62"/>
      <c r="B737" s="56" t="s">
        <v>238</v>
      </c>
      <c r="C737" s="57" t="s">
        <v>305</v>
      </c>
      <c r="D737" s="54" t="str">
        <f>IF(C737&lt;&gt;"",VLOOKUP(C737,'Dummy Table'!$B$3:$C$30,2,FALSE),"")</f>
        <v>Holanda</v>
      </c>
      <c r="E737" s="54" t="str">
        <f>IF(C737&lt;&gt;"",VLOOKUP(C737,'Dummy Table'!$B$3:$D$30,3,FALSE),"")</f>
        <v>Red Bull</v>
      </c>
      <c r="F737" s="58"/>
      <c r="H737" s="66">
        <f>IF(C737="",F737,0)</f>
        <v>0</v>
      </c>
      <c r="J737" s="67"/>
      <c r="M737" s="84"/>
      <c r="N737" s="84"/>
      <c r="O737" s="84"/>
    </row>
    <row r="738" spans="1:26" s="66" customFormat="1" x14ac:dyDescent="0.2">
      <c r="A738" s="62">
        <v>23</v>
      </c>
      <c r="B738" s="129">
        <f>VLOOKUP($A738,'Calendário atual'!$A$2:$E$30,2,FALSE)</f>
        <v>45991</v>
      </c>
      <c r="C738" s="162" t="str">
        <f>VLOOKUP($A738,'Calendário atual'!$A$2:$E$30,4,FALSE)</f>
        <v>FORMULA 1 QATAR AIRWAYS QATAR GRAND PRIX 2025</v>
      </c>
      <c r="D738" s="162"/>
      <c r="E738" s="162"/>
      <c r="F738" s="129" t="str">
        <f>VLOOKUP($A738,'Calendário atual'!$A$2:$E$30,3,FALSE)</f>
        <v>Qatar</v>
      </c>
      <c r="G738" s="72"/>
      <c r="H738" s="72"/>
      <c r="I738" s="72"/>
      <c r="J738" s="67"/>
      <c r="M738" s="84"/>
      <c r="N738" s="84"/>
      <c r="O738" s="84"/>
    </row>
    <row r="739" spans="1:26" x14ac:dyDescent="0.2">
      <c r="B739" s="134"/>
      <c r="C739" s="136" t="s">
        <v>396</v>
      </c>
      <c r="D739" s="135"/>
      <c r="E739" s="135"/>
      <c r="F739" s="135"/>
      <c r="G739" s="72"/>
      <c r="H739" s="72"/>
      <c r="I739" s="72"/>
      <c r="K739" s="82"/>
      <c r="M739" s="74"/>
      <c r="N739" s="74"/>
      <c r="O739" s="74"/>
      <c r="P739" s="74"/>
      <c r="Q739" s="74"/>
      <c r="R739" s="74"/>
      <c r="S739" s="74"/>
      <c r="T739" s="74"/>
      <c r="V739" s="68"/>
      <c r="W739" s="68"/>
      <c r="X739" s="68"/>
    </row>
    <row r="740" spans="1:26" x14ac:dyDescent="0.2">
      <c r="B740" s="61" t="s">
        <v>14</v>
      </c>
      <c r="C740" s="61" t="s">
        <v>29</v>
      </c>
      <c r="D740" s="61" t="s">
        <v>16</v>
      </c>
      <c r="E740" s="61" t="s">
        <v>17</v>
      </c>
      <c r="F740" s="61" t="s">
        <v>18</v>
      </c>
      <c r="M740" s="83"/>
      <c r="N740" s="83"/>
      <c r="O740" s="83"/>
      <c r="P740" s="78"/>
      <c r="Q740" s="78"/>
      <c r="R740" s="78"/>
      <c r="V740" s="68"/>
      <c r="W740" s="68"/>
      <c r="X740" s="68"/>
    </row>
    <row r="741" spans="1:26" x14ac:dyDescent="0.2">
      <c r="B741" s="59">
        <f>$J$2</f>
        <v>1</v>
      </c>
      <c r="C741" s="48" t="s">
        <v>334</v>
      </c>
      <c r="D741" s="49" t="str">
        <f>IF(C741&lt;&gt;"",VLOOKUP(C741,'Dummy Table'!$B$3:$C$30,2,FALSE),"")</f>
        <v>Austrália</v>
      </c>
      <c r="E741" s="49" t="str">
        <f>IF(C741&lt;&gt;"",VLOOKUP(C741,'Dummy Table'!$B$3:$D$30,3,FALSE),"")</f>
        <v>McLaren 🏆</v>
      </c>
      <c r="F741" s="50">
        <v>8</v>
      </c>
      <c r="G741" s="66">
        <f>IF(C741="",F741,0)</f>
        <v>0</v>
      </c>
      <c r="H741" s="66">
        <f>IF(C741="",F741,0)</f>
        <v>0</v>
      </c>
      <c r="K741" s="71"/>
      <c r="M741" s="130"/>
      <c r="N741" s="130"/>
      <c r="O741" s="130"/>
      <c r="V741" s="68"/>
      <c r="W741" s="68"/>
      <c r="X741" s="68"/>
    </row>
    <row r="742" spans="1:26" x14ac:dyDescent="0.2">
      <c r="B742" s="60">
        <f>$J$3</f>
        <v>2</v>
      </c>
      <c r="C742" s="48" t="s">
        <v>394</v>
      </c>
      <c r="D742" s="49" t="str">
        <f>IF(C742&lt;&gt;"",VLOOKUP(C742,'Dummy Table'!$B$3:$C$30,2,FALSE),"")</f>
        <v>Inglaterra</v>
      </c>
      <c r="E742" s="49" t="str">
        <f>IF(C742&lt;&gt;"",VLOOKUP(C742,'Dummy Table'!$B$3:$D$30,3,FALSE),"")</f>
        <v>Mercedes</v>
      </c>
      <c r="F742" s="50">
        <v>7</v>
      </c>
      <c r="H742" s="66">
        <f>IF(C742="",F742,0)</f>
        <v>0</v>
      </c>
      <c r="K742" s="71"/>
      <c r="M742" s="130"/>
      <c r="N742" s="130"/>
      <c r="O742" s="130"/>
    </row>
    <row r="743" spans="1:26" x14ac:dyDescent="0.2">
      <c r="B743" s="60">
        <f>$J$4</f>
        <v>3</v>
      </c>
      <c r="C743" s="48" t="s">
        <v>316</v>
      </c>
      <c r="D743" s="49" t="str">
        <f>IF(C743&lt;&gt;"",VLOOKUP(C743,'Dummy Table'!$B$3:$C$30,2,FALSE),"")</f>
        <v>Inglaterra</v>
      </c>
      <c r="E743" s="49" t="str">
        <f>IF(C743&lt;&gt;"",VLOOKUP(C743,'Dummy Table'!$B$3:$D$30,3,FALSE),"")</f>
        <v>McLaren 🏆</v>
      </c>
      <c r="F743" s="50">
        <v>6</v>
      </c>
      <c r="M743" s="130"/>
      <c r="N743" s="130"/>
      <c r="O743" s="130"/>
    </row>
    <row r="744" spans="1:26" x14ac:dyDescent="0.2">
      <c r="B744" s="60">
        <f>$J$5</f>
        <v>4</v>
      </c>
      <c r="C744" s="48" t="s">
        <v>305</v>
      </c>
      <c r="D744" s="49" t="str">
        <f>IF(C744&lt;&gt;"",VLOOKUP(C744,'Dummy Table'!$B$3:$C$30,2,FALSE),"")</f>
        <v>Holanda</v>
      </c>
      <c r="E744" s="49" t="str">
        <f>IF(C744&lt;&gt;"",VLOOKUP(C744,'Dummy Table'!$B$3:$D$30,3,FALSE),"")</f>
        <v>Red Bull</v>
      </c>
      <c r="F744" s="50">
        <v>5</v>
      </c>
      <c r="K744" s="78"/>
      <c r="M744" s="130"/>
      <c r="N744" s="130"/>
      <c r="O744" s="130"/>
    </row>
    <row r="745" spans="1:26" x14ac:dyDescent="0.2">
      <c r="B745" s="60">
        <f>$J$6</f>
        <v>5</v>
      </c>
      <c r="C745" s="48" t="s">
        <v>339</v>
      </c>
      <c r="D745" s="49" t="str">
        <f>IF(C745&lt;&gt;"",VLOOKUP(C745,'Dummy Table'!$B$3:$C$30,2,FALSE),"")</f>
        <v>Japão</v>
      </c>
      <c r="E745" s="49" t="str">
        <f>IF(C745&lt;&gt;"",VLOOKUP(C745,'Dummy Table'!$B$3:$D$30,3,FALSE),"")</f>
        <v>Red Bull</v>
      </c>
      <c r="F745" s="50">
        <v>4</v>
      </c>
      <c r="M745" s="130"/>
      <c r="N745" s="130"/>
      <c r="O745" s="130"/>
    </row>
    <row r="746" spans="1:26" x14ac:dyDescent="0.2">
      <c r="B746" s="60">
        <f>$J$7</f>
        <v>6</v>
      </c>
      <c r="C746" s="48" t="s">
        <v>336</v>
      </c>
      <c r="D746" s="49" t="str">
        <f>IF(C746&lt;&gt;"",VLOOKUP(C746,'Dummy Table'!$B$3:$C$30,2,FALSE),"")</f>
        <v>Itália</v>
      </c>
      <c r="E746" s="49" t="str">
        <f>IF(C746&lt;&gt;"",VLOOKUP(C746,'Dummy Table'!$B$3:$D$30,3,FALSE),"")</f>
        <v>Mercedes</v>
      </c>
      <c r="F746" s="50">
        <v>3</v>
      </c>
      <c r="K746" s="71"/>
      <c r="M746" s="130"/>
      <c r="N746" s="130"/>
      <c r="O746" s="130"/>
    </row>
    <row r="747" spans="1:26" x14ac:dyDescent="0.2">
      <c r="B747" s="60">
        <f>$J$8</f>
        <v>7</v>
      </c>
      <c r="C747" s="48" t="s">
        <v>30</v>
      </c>
      <c r="D747" s="49" t="str">
        <f>IF(C747&lt;&gt;"",VLOOKUP(C747,'Dummy Table'!$B$3:$C$30,2,FALSE),"")</f>
        <v>Espanha</v>
      </c>
      <c r="E747" s="49" t="str">
        <f>IF(C747&lt;&gt;"",VLOOKUP(C747,'Dummy Table'!$B$3:$D$30,3,FALSE),"")</f>
        <v>Aston Martin</v>
      </c>
      <c r="F747" s="50">
        <v>2</v>
      </c>
      <c r="K747" s="71"/>
      <c r="M747" s="130"/>
      <c r="N747" s="130"/>
      <c r="O747" s="130"/>
    </row>
    <row r="748" spans="1:26" x14ac:dyDescent="0.2">
      <c r="B748" s="60">
        <f>$J$9</f>
        <v>8</v>
      </c>
      <c r="C748" s="48" t="s">
        <v>343</v>
      </c>
      <c r="D748" s="49" t="str">
        <f>IF(C748&lt;&gt;"",VLOOKUP(C748,'Dummy Table'!$B$3:$C$30,2,FALSE),"")</f>
        <v>Espanha</v>
      </c>
      <c r="E748" s="49" t="str">
        <f>IF(C748&lt;&gt;"",VLOOKUP(C748,'Dummy Table'!$B$3:$D$30,3,FALSE),"")</f>
        <v>Williams</v>
      </c>
      <c r="F748" s="50">
        <v>1</v>
      </c>
      <c r="K748" s="71"/>
      <c r="M748" s="130"/>
      <c r="N748" s="130"/>
      <c r="O748" s="130"/>
    </row>
    <row r="749" spans="1:26" s="79" customFormat="1" x14ac:dyDescent="0.2">
      <c r="A749" s="62"/>
      <c r="B749" s="60">
        <f>$J$10</f>
        <v>9</v>
      </c>
      <c r="C749" s="48" t="s">
        <v>341</v>
      </c>
      <c r="D749" s="49" t="str">
        <f>IF(C749&lt;&gt;"",VLOOKUP(C749,'Dummy Table'!$B$3:$C$30,2,FALSE),"")</f>
        <v>França</v>
      </c>
      <c r="E749" s="49" t="str">
        <f>IF(C749&lt;&gt;"",VLOOKUP(C749,'Dummy Table'!$B$3:$D$30,3,FALSE),"")</f>
        <v>Racing Bulls</v>
      </c>
      <c r="F749" s="50"/>
      <c r="G749" s="66"/>
      <c r="H749" s="66"/>
      <c r="I749" s="66"/>
      <c r="J749" s="73"/>
      <c r="K749" s="71"/>
      <c r="L749" s="78"/>
      <c r="M749" s="130"/>
      <c r="N749" s="130"/>
      <c r="O749" s="130"/>
      <c r="P749" s="68"/>
      <c r="Q749" s="68"/>
      <c r="R749" s="68"/>
      <c r="S749" s="78"/>
      <c r="T749" s="78"/>
      <c r="U749" s="78"/>
      <c r="V749" s="78"/>
      <c r="W749" s="78"/>
      <c r="X749" s="78"/>
      <c r="Y749" s="78"/>
      <c r="Z749" s="78"/>
    </row>
    <row r="750" spans="1:26" x14ac:dyDescent="0.2">
      <c r="B750" s="60">
        <f>$J$11</f>
        <v>10</v>
      </c>
      <c r="C750" s="48" t="s">
        <v>315</v>
      </c>
      <c r="D750" s="49" t="str">
        <f>IF(C750&lt;&gt;"",VLOOKUP(C750,'Dummy Table'!$B$3:$C$30,2,FALSE),"")</f>
        <v>Tailandia</v>
      </c>
      <c r="E750" s="49" t="str">
        <f>IF(C750&lt;&gt;"",VLOOKUP(C750,'Dummy Table'!$B$3:$D$30,3,FALSE),"")</f>
        <v>Williams</v>
      </c>
      <c r="F750" s="50"/>
      <c r="K750" s="71"/>
      <c r="M750" s="130"/>
      <c r="N750" s="130"/>
      <c r="O750" s="130"/>
    </row>
    <row r="751" spans="1:26" x14ac:dyDescent="0.2">
      <c r="B751" s="60">
        <f>$J$12</f>
        <v>11</v>
      </c>
      <c r="C751" s="48" t="s">
        <v>344</v>
      </c>
      <c r="D751" s="49" t="str">
        <f>IF(C751&lt;&gt;"",VLOOKUP(C751,'Dummy Table'!$B$3:$C$30,2,FALSE),"")</f>
        <v>Brasil</v>
      </c>
      <c r="E751" s="49" t="str">
        <f>IF(C751&lt;&gt;"",VLOOKUP(C751,'Dummy Table'!$B$3:$D$30,3,FALSE),"")</f>
        <v>Kick Sauber</v>
      </c>
      <c r="F751" s="51"/>
      <c r="K751" s="71"/>
      <c r="M751" s="130"/>
      <c r="N751" s="130"/>
      <c r="O751" s="130"/>
    </row>
    <row r="752" spans="1:26" x14ac:dyDescent="0.2">
      <c r="B752" s="60">
        <f>$J$13</f>
        <v>12</v>
      </c>
      <c r="C752" s="48" t="s">
        <v>338</v>
      </c>
      <c r="D752" s="49" t="str">
        <f>IF(C752&lt;&gt;"",VLOOKUP(C752,'Dummy Table'!$B$3:$C$30,2,FALSE),"")</f>
        <v>Inglaterra</v>
      </c>
      <c r="E752" s="49" t="str">
        <f>IF(C752&lt;&gt;"",VLOOKUP(C752,'Dummy Table'!$B$3:$D$30,3,FALSE),"")</f>
        <v>Haas</v>
      </c>
      <c r="F752" s="51"/>
      <c r="K752" s="71"/>
      <c r="M752" s="130"/>
      <c r="N752" s="130"/>
      <c r="O752" s="130"/>
    </row>
    <row r="753" spans="1:24" x14ac:dyDescent="0.2">
      <c r="B753" s="60">
        <f>$J$14</f>
        <v>13</v>
      </c>
      <c r="C753" s="48" t="s">
        <v>313</v>
      </c>
      <c r="D753" s="49" t="str">
        <f>IF(C753&lt;&gt;"",VLOOKUP(C753,'Dummy Table'!$B$3:$C$30,2,FALSE),"")</f>
        <v>Mônaco</v>
      </c>
      <c r="E753" s="49" t="str">
        <f>IF(C753&lt;&gt;"",VLOOKUP(C753,'Dummy Table'!$B$3:$D$30,3,FALSE),"")</f>
        <v>Ferrari</v>
      </c>
      <c r="F753" s="51"/>
      <c r="G753" s="72"/>
      <c r="H753" s="72"/>
      <c r="I753" s="72"/>
      <c r="K753" s="71"/>
      <c r="M753" s="130"/>
      <c r="N753" s="130"/>
      <c r="O753" s="130"/>
    </row>
    <row r="754" spans="1:24" x14ac:dyDescent="0.2">
      <c r="B754" s="60">
        <f>$J$15</f>
        <v>14</v>
      </c>
      <c r="C754" s="48" t="s">
        <v>335</v>
      </c>
      <c r="D754" s="49" t="str">
        <f>IF(C754&lt;&gt;"",VLOOKUP(C754,'Dummy Table'!$B$3:$C$30,2,FALSE),"")</f>
        <v>Austrália</v>
      </c>
      <c r="E754" s="49" t="str">
        <f>IF(C754&lt;&gt;"",VLOOKUP(C754,'Dummy Table'!$B$3:$D$30,3,FALSE),"")</f>
        <v>Racing Bulls</v>
      </c>
      <c r="F754" s="51"/>
      <c r="G754" s="72"/>
      <c r="H754" s="72"/>
      <c r="I754" s="72"/>
      <c r="K754" s="71"/>
      <c r="M754" s="83"/>
      <c r="N754" s="83"/>
      <c r="O754" s="83"/>
      <c r="P754" s="78"/>
      <c r="Q754" s="78"/>
      <c r="R754" s="78"/>
    </row>
    <row r="755" spans="1:24" x14ac:dyDescent="0.2">
      <c r="B755" s="60">
        <f>$J$16</f>
        <v>15</v>
      </c>
      <c r="C755" s="48" t="s">
        <v>319</v>
      </c>
      <c r="D755" s="49" t="str">
        <f>IF(C755&lt;&gt;"",VLOOKUP(C755,'Dummy Table'!$B$3:$C$30,2,FALSE),"")</f>
        <v>França</v>
      </c>
      <c r="E755" s="49" t="str">
        <f>IF(C755&lt;&gt;"",VLOOKUP(C755,'Dummy Table'!$B$3:$D$30,3,FALSE),"")</f>
        <v>Haas</v>
      </c>
      <c r="F755" s="51"/>
      <c r="G755" s="72"/>
      <c r="H755" s="72"/>
      <c r="I755" s="72"/>
      <c r="K755" s="71"/>
      <c r="M755" s="130"/>
      <c r="N755" s="130"/>
      <c r="O755" s="130"/>
    </row>
    <row r="756" spans="1:24" x14ac:dyDescent="0.2">
      <c r="B756" s="60">
        <f>$J$17</f>
        <v>16</v>
      </c>
      <c r="C756" s="48" t="s">
        <v>257</v>
      </c>
      <c r="D756" s="49" t="str">
        <f>IF(C756&lt;&gt;"",VLOOKUP(C756,'Dummy Table'!$B$3:$C$30,2,FALSE),"")</f>
        <v>Alemanha</v>
      </c>
      <c r="E756" s="49" t="str">
        <f>IF(C756&lt;&gt;"",VLOOKUP(C756,'Dummy Table'!$B$3:$D$30,3,FALSE),"")</f>
        <v>Kick Sauber</v>
      </c>
      <c r="F756" s="51"/>
      <c r="G756" s="72"/>
      <c r="H756" s="72"/>
      <c r="I756" s="72"/>
      <c r="K756" s="71"/>
      <c r="M756" s="130"/>
      <c r="N756" s="130"/>
      <c r="O756" s="130"/>
    </row>
    <row r="757" spans="1:24" x14ac:dyDescent="0.2">
      <c r="B757" s="60">
        <f>$J$18</f>
        <v>17</v>
      </c>
      <c r="C757" s="48" t="s">
        <v>1</v>
      </c>
      <c r="D757" s="49" t="str">
        <f>IF(C757&lt;&gt;"",VLOOKUP(C757,'Dummy Table'!$B$3:$C$30,2,FALSE),"")</f>
        <v>Inglaterra</v>
      </c>
      <c r="E757" s="49" t="str">
        <f>IF(C757&lt;&gt;"",VLOOKUP(C757,'Dummy Table'!$B$3:$D$30,3,FALSE),"")</f>
        <v>Ferrari</v>
      </c>
      <c r="F757" s="51"/>
      <c r="G757" s="72"/>
      <c r="H757" s="72"/>
      <c r="I757" s="72"/>
      <c r="M757" s="130"/>
      <c r="N757" s="130"/>
      <c r="O757" s="130"/>
    </row>
    <row r="758" spans="1:24" x14ac:dyDescent="0.2">
      <c r="B758" s="60">
        <f>$J$19</f>
        <v>18</v>
      </c>
      <c r="C758" s="48" t="s">
        <v>312</v>
      </c>
      <c r="D758" s="49" t="str">
        <f>IF(C758&lt;&gt;"",VLOOKUP(C758,'Dummy Table'!$B$3:$C$30,2,FALSE),"")</f>
        <v>França</v>
      </c>
      <c r="E758" s="49" t="str">
        <f>IF(C758&lt;&gt;"",VLOOKUP(C758,'Dummy Table'!$B$3:$D$30,3,FALSE),"")</f>
        <v>Alpine</v>
      </c>
      <c r="F758" s="51"/>
      <c r="G758" s="72"/>
      <c r="H758" s="72"/>
      <c r="I758" s="72"/>
      <c r="K758" s="78"/>
      <c r="M758" s="130"/>
      <c r="N758" s="130"/>
      <c r="O758" s="130"/>
    </row>
    <row r="759" spans="1:24" x14ac:dyDescent="0.2">
      <c r="B759" s="60">
        <f>$J$20</f>
        <v>19</v>
      </c>
      <c r="C759" s="48" t="s">
        <v>311</v>
      </c>
      <c r="D759" s="49" t="str">
        <f>IF(C759&lt;&gt;"",VLOOKUP(C759,'Dummy Table'!$B$3:$C$30,2,FALSE),"")</f>
        <v>Canadá</v>
      </c>
      <c r="E759" s="49" t="str">
        <f>IF(C759&lt;&gt;"",VLOOKUP(C759,'Dummy Table'!$B$3:$D$30,3,FALSE),"")</f>
        <v>Aston Martin</v>
      </c>
      <c r="F759" s="51"/>
      <c r="G759" s="72"/>
      <c r="H759" s="72"/>
      <c r="I759" s="72"/>
      <c r="M759" s="130"/>
      <c r="N759" s="130"/>
      <c r="O759" s="130"/>
    </row>
    <row r="760" spans="1:24" x14ac:dyDescent="0.2">
      <c r="B760" s="60">
        <f>$J$21</f>
        <v>20</v>
      </c>
      <c r="C760" s="48" t="s">
        <v>400</v>
      </c>
      <c r="D760" s="49" t="str">
        <f>IF(C760&lt;&gt;"",VLOOKUP(C760,'Dummy Table'!$B$3:$C$30,2,FALSE),"")</f>
        <v>Argentina</v>
      </c>
      <c r="E760" s="49" t="str">
        <f>IF(C760&lt;&gt;"",VLOOKUP(C760,'Dummy Table'!$B$3:$D$30,3,FALSE),"")</f>
        <v>Alpine</v>
      </c>
      <c r="F760" s="51"/>
      <c r="G760" s="72"/>
      <c r="H760" s="72"/>
      <c r="I760" s="72"/>
      <c r="K760" s="71"/>
      <c r="M760" s="130"/>
      <c r="N760" s="130"/>
      <c r="O760" s="130"/>
    </row>
    <row r="761" spans="1:24" hidden="1" x14ac:dyDescent="0.2">
      <c r="B761" s="60"/>
      <c r="C761" s="48"/>
      <c r="D761" s="49"/>
      <c r="E761" s="49"/>
      <c r="F761" s="51"/>
      <c r="G761" s="72"/>
      <c r="H761" s="72"/>
      <c r="I761" s="72"/>
      <c r="K761" s="71"/>
      <c r="M761" s="130"/>
      <c r="N761" s="130"/>
      <c r="O761" s="130"/>
    </row>
    <row r="762" spans="1:24" x14ac:dyDescent="0.2">
      <c r="B762" s="134"/>
      <c r="C762" s="136" t="s">
        <v>397</v>
      </c>
      <c r="D762" s="135"/>
      <c r="E762" s="135"/>
      <c r="F762" s="135"/>
      <c r="G762" s="72"/>
      <c r="H762" s="72"/>
      <c r="I762" s="72"/>
      <c r="K762" s="82"/>
      <c r="M762" s="74"/>
      <c r="N762" s="74"/>
      <c r="O762" s="74"/>
      <c r="P762" s="74"/>
      <c r="Q762" s="74"/>
      <c r="R762" s="74"/>
      <c r="S762" s="74"/>
      <c r="T762" s="74"/>
      <c r="V762" s="68"/>
      <c r="W762" s="68"/>
      <c r="X762" s="68"/>
    </row>
    <row r="763" spans="1:24" s="66" customFormat="1" x14ac:dyDescent="0.2">
      <c r="A763" s="62"/>
      <c r="B763" s="61" t="s">
        <v>14</v>
      </c>
      <c r="C763" s="61" t="s">
        <v>29</v>
      </c>
      <c r="D763" s="61" t="s">
        <v>16</v>
      </c>
      <c r="E763" s="61" t="s">
        <v>17</v>
      </c>
      <c r="F763" s="61" t="s">
        <v>18</v>
      </c>
      <c r="J763" s="67"/>
      <c r="M763" s="84"/>
      <c r="N763" s="84"/>
      <c r="O763" s="84"/>
    </row>
    <row r="764" spans="1:24" s="66" customFormat="1" x14ac:dyDescent="0.2">
      <c r="A764" s="62"/>
      <c r="B764" s="59">
        <f>$J$2</f>
        <v>1</v>
      </c>
      <c r="C764" s="48" t="s">
        <v>305</v>
      </c>
      <c r="D764" s="49" t="str">
        <f>IF(C764&lt;&gt;"",VLOOKUP(C764,'Dummy Table'!$B$3:$C$30,2,FALSE),"")</f>
        <v>Holanda</v>
      </c>
      <c r="E764" s="49" t="str">
        <f>IF(C764&lt;&gt;"",VLOOKUP(C764,'Dummy Table'!$B$3:$D$30,3,FALSE),"")</f>
        <v>Red Bull</v>
      </c>
      <c r="F764" s="50">
        <v>25</v>
      </c>
      <c r="G764" s="66">
        <f>IF(C764="",F764,0)</f>
        <v>0</v>
      </c>
      <c r="H764" s="66">
        <f>IF(C764="",F764,0)</f>
        <v>0</v>
      </c>
      <c r="I764" s="66">
        <f>IF(C764="",1,0)</f>
        <v>0</v>
      </c>
      <c r="J764" s="67"/>
      <c r="M764" s="84"/>
      <c r="N764" s="84"/>
      <c r="O764" s="84"/>
    </row>
    <row r="765" spans="1:24" s="66" customFormat="1" x14ac:dyDescent="0.2">
      <c r="A765" s="62"/>
      <c r="B765" s="60">
        <f>$J$3</f>
        <v>2</v>
      </c>
      <c r="C765" s="48" t="s">
        <v>334</v>
      </c>
      <c r="D765" s="49" t="str">
        <f>IF(C765&lt;&gt;"",VLOOKUP(C765,'Dummy Table'!$B$3:$C$30,2,FALSE),"")</f>
        <v>Austrália</v>
      </c>
      <c r="E765" s="49" t="str">
        <f>IF(C765&lt;&gt;"",VLOOKUP(C765,'Dummy Table'!$B$3:$D$30,3,FALSE),"")</f>
        <v>McLaren 🏆</v>
      </c>
      <c r="F765" s="50">
        <v>18</v>
      </c>
      <c r="H765" s="66">
        <f>IF(C765="",F765,0)</f>
        <v>0</v>
      </c>
      <c r="J765" s="67"/>
      <c r="M765" s="84"/>
      <c r="N765" s="84"/>
      <c r="O765" s="84"/>
    </row>
    <row r="766" spans="1:24" s="66" customFormat="1" x14ac:dyDescent="0.2">
      <c r="A766" s="62"/>
      <c r="B766" s="60">
        <f>$J$4</f>
        <v>3</v>
      </c>
      <c r="C766" s="48" t="s">
        <v>343</v>
      </c>
      <c r="D766" s="49" t="str">
        <f>IF(C766&lt;&gt;"",VLOOKUP(C766,'Dummy Table'!$B$3:$C$30,2,FALSE),"")</f>
        <v>Espanha</v>
      </c>
      <c r="E766" s="49" t="str">
        <f>IF(C766&lt;&gt;"",VLOOKUP(C766,'Dummy Table'!$B$3:$D$30,3,FALSE),"")</f>
        <v>Williams</v>
      </c>
      <c r="F766" s="50">
        <v>15</v>
      </c>
      <c r="J766" s="67"/>
      <c r="M766" s="84"/>
      <c r="N766" s="84"/>
      <c r="O766" s="84"/>
    </row>
    <row r="767" spans="1:24" s="66" customFormat="1" x14ac:dyDescent="0.2">
      <c r="A767" s="62"/>
      <c r="B767" s="60">
        <f>$J$5</f>
        <v>4</v>
      </c>
      <c r="C767" s="48" t="s">
        <v>316</v>
      </c>
      <c r="D767" s="49" t="str">
        <f>IF(C767&lt;&gt;"",VLOOKUP(C767,'Dummy Table'!$B$3:$C$30,2,FALSE),"")</f>
        <v>Inglaterra</v>
      </c>
      <c r="E767" s="49" t="str">
        <f>IF(C767&lt;&gt;"",VLOOKUP(C767,'Dummy Table'!$B$3:$D$30,3,FALSE),"")</f>
        <v>McLaren 🏆</v>
      </c>
      <c r="F767" s="50">
        <v>12</v>
      </c>
      <c r="J767" s="67"/>
      <c r="M767" s="84"/>
      <c r="N767" s="84"/>
      <c r="O767" s="84"/>
    </row>
    <row r="768" spans="1:24" s="66" customFormat="1" x14ac:dyDescent="0.2">
      <c r="A768" s="62"/>
      <c r="B768" s="60">
        <f>$J$6</f>
        <v>5</v>
      </c>
      <c r="C768" s="48" t="s">
        <v>336</v>
      </c>
      <c r="D768" s="49" t="str">
        <f>IF(C768&lt;&gt;"",VLOOKUP(C768,'Dummy Table'!$B$3:$C$30,2,FALSE),"")</f>
        <v>Itália</v>
      </c>
      <c r="E768" s="49" t="str">
        <f>IF(C768&lt;&gt;"",VLOOKUP(C768,'Dummy Table'!$B$3:$D$30,3,FALSE),"")</f>
        <v>Mercedes</v>
      </c>
      <c r="F768" s="50">
        <v>10</v>
      </c>
      <c r="J768" s="67"/>
      <c r="M768" s="84"/>
      <c r="N768" s="84"/>
      <c r="O768" s="84"/>
    </row>
    <row r="769" spans="1:15" s="66" customFormat="1" x14ac:dyDescent="0.2">
      <c r="A769" s="62"/>
      <c r="B769" s="60">
        <f>$J$7</f>
        <v>6</v>
      </c>
      <c r="C769" s="48" t="s">
        <v>394</v>
      </c>
      <c r="D769" s="49" t="str">
        <f>IF(C769&lt;&gt;"",VLOOKUP(C769,'Dummy Table'!$B$3:$C$30,2,FALSE),"")</f>
        <v>Inglaterra</v>
      </c>
      <c r="E769" s="49" t="str">
        <f>IF(C769&lt;&gt;"",VLOOKUP(C769,'Dummy Table'!$B$3:$D$30,3,FALSE),"")</f>
        <v>Mercedes</v>
      </c>
      <c r="F769" s="50">
        <v>8</v>
      </c>
      <c r="J769" s="67"/>
      <c r="M769" s="84"/>
      <c r="N769" s="84"/>
      <c r="O769" s="84"/>
    </row>
    <row r="770" spans="1:15" s="66" customFormat="1" x14ac:dyDescent="0.2">
      <c r="A770" s="62"/>
      <c r="B770" s="60">
        <f>$J$8</f>
        <v>7</v>
      </c>
      <c r="C770" s="48" t="s">
        <v>30</v>
      </c>
      <c r="D770" s="49" t="str">
        <f>IF(C770&lt;&gt;"",VLOOKUP(C770,'Dummy Table'!$B$3:$C$30,2,FALSE),"")</f>
        <v>Espanha</v>
      </c>
      <c r="E770" s="49" t="str">
        <f>IF(C770&lt;&gt;"",VLOOKUP(C770,'Dummy Table'!$B$3:$D$30,3,FALSE),"")</f>
        <v>Aston Martin</v>
      </c>
      <c r="F770" s="50">
        <v>6</v>
      </c>
      <c r="J770" s="67"/>
      <c r="M770" s="84"/>
      <c r="N770" s="84"/>
      <c r="O770" s="84"/>
    </row>
    <row r="771" spans="1:15" s="66" customFormat="1" x14ac:dyDescent="0.2">
      <c r="A771" s="62"/>
      <c r="B771" s="60">
        <f>$J$9</f>
        <v>8</v>
      </c>
      <c r="C771" s="48" t="s">
        <v>313</v>
      </c>
      <c r="D771" s="49" t="str">
        <f>IF(C771&lt;&gt;"",VLOOKUP(C771,'Dummy Table'!$B$3:$C$30,2,FALSE),"")</f>
        <v>Mônaco</v>
      </c>
      <c r="E771" s="49" t="str">
        <f>IF(C771&lt;&gt;"",VLOOKUP(C771,'Dummy Table'!$B$3:$D$30,3,FALSE),"")</f>
        <v>Ferrari</v>
      </c>
      <c r="F771" s="50">
        <v>4</v>
      </c>
      <c r="J771" s="67"/>
      <c r="M771" s="84"/>
      <c r="N771" s="84"/>
      <c r="O771" s="84"/>
    </row>
    <row r="772" spans="1:15" s="66" customFormat="1" x14ac:dyDescent="0.2">
      <c r="A772" s="62"/>
      <c r="B772" s="60">
        <f>$J$10</f>
        <v>9</v>
      </c>
      <c r="C772" s="48" t="s">
        <v>335</v>
      </c>
      <c r="D772" s="49" t="str">
        <f>IF(C772&lt;&gt;"",VLOOKUP(C772,'Dummy Table'!$B$3:$C$30,2,FALSE),"")</f>
        <v>Austrália</v>
      </c>
      <c r="E772" s="49" t="str">
        <f>IF(C772&lt;&gt;"",VLOOKUP(C772,'Dummy Table'!$B$3:$D$30,3,FALSE),"")</f>
        <v>Racing Bulls</v>
      </c>
      <c r="F772" s="50">
        <v>2</v>
      </c>
      <c r="J772" s="67"/>
      <c r="M772" s="84"/>
      <c r="N772" s="84"/>
      <c r="O772" s="84"/>
    </row>
    <row r="773" spans="1:15" s="66" customFormat="1" x14ac:dyDescent="0.2">
      <c r="A773" s="62"/>
      <c r="B773" s="60">
        <f>$J$11</f>
        <v>10</v>
      </c>
      <c r="C773" s="48" t="s">
        <v>339</v>
      </c>
      <c r="D773" s="49" t="str">
        <f>IF(C773&lt;&gt;"",VLOOKUP(C773,'Dummy Table'!$B$3:$C$30,2,FALSE),"")</f>
        <v>Japão</v>
      </c>
      <c r="E773" s="49" t="str">
        <f>IF(C773&lt;&gt;"",VLOOKUP(C773,'Dummy Table'!$B$3:$D$30,3,FALSE),"")</f>
        <v>Red Bull</v>
      </c>
      <c r="F773" s="50">
        <v>1</v>
      </c>
      <c r="J773" s="67"/>
      <c r="M773" s="84"/>
      <c r="N773" s="84"/>
      <c r="O773" s="84"/>
    </row>
    <row r="774" spans="1:15" s="66" customFormat="1" x14ac:dyDescent="0.2">
      <c r="A774" s="62"/>
      <c r="B774" s="60">
        <f>$J$12</f>
        <v>11</v>
      </c>
      <c r="C774" s="48" t="s">
        <v>315</v>
      </c>
      <c r="D774" s="49" t="str">
        <f>IF(C774&lt;&gt;"",VLOOKUP(C774,'Dummy Table'!$B$3:$C$30,2,FALSE),"")</f>
        <v>Tailandia</v>
      </c>
      <c r="E774" s="49" t="str">
        <f>IF(C774&lt;&gt;"",VLOOKUP(C774,'Dummy Table'!$B$3:$D$30,3,FALSE),"")</f>
        <v>Williams</v>
      </c>
      <c r="F774" s="51"/>
      <c r="J774" s="67"/>
      <c r="M774" s="84"/>
      <c r="N774" s="84"/>
      <c r="O774" s="84"/>
    </row>
    <row r="775" spans="1:15" s="66" customFormat="1" x14ac:dyDescent="0.2">
      <c r="A775" s="62"/>
      <c r="B775" s="60">
        <f>$J$13</f>
        <v>12</v>
      </c>
      <c r="C775" s="48" t="s">
        <v>1</v>
      </c>
      <c r="D775" s="49" t="str">
        <f>IF(C775&lt;&gt;"",VLOOKUP(C775,'Dummy Table'!$B$3:$C$30,2,FALSE),"")</f>
        <v>Inglaterra</v>
      </c>
      <c r="E775" s="49" t="str">
        <f>IF(C775&lt;&gt;"",VLOOKUP(C775,'Dummy Table'!$B$3:$D$30,3,FALSE),"")</f>
        <v>Ferrari</v>
      </c>
      <c r="F775" s="51"/>
      <c r="J775" s="67"/>
      <c r="M775" s="84"/>
      <c r="N775" s="84"/>
      <c r="O775" s="84"/>
    </row>
    <row r="776" spans="1:15" s="66" customFormat="1" x14ac:dyDescent="0.2">
      <c r="A776" s="62"/>
      <c r="B776" s="60">
        <f>$J$14</f>
        <v>13</v>
      </c>
      <c r="C776" s="48" t="s">
        <v>344</v>
      </c>
      <c r="D776" s="49" t="str">
        <f>IF(C776&lt;&gt;"",VLOOKUP(C776,'Dummy Table'!$B$3:$C$30,2,FALSE),"")</f>
        <v>Brasil</v>
      </c>
      <c r="E776" s="49" t="str">
        <f>IF(C776&lt;&gt;"",VLOOKUP(C776,'Dummy Table'!$B$3:$D$30,3,FALSE),"")</f>
        <v>Kick Sauber</v>
      </c>
      <c r="F776" s="51"/>
      <c r="G776" s="72"/>
      <c r="H776" s="72"/>
      <c r="I776" s="72"/>
      <c r="J776" s="67"/>
      <c r="M776" s="84"/>
      <c r="N776" s="84"/>
      <c r="O776" s="84"/>
    </row>
    <row r="777" spans="1:15" s="66" customFormat="1" x14ac:dyDescent="0.2">
      <c r="A777" s="62"/>
      <c r="B777" s="60">
        <f>$J$15</f>
        <v>14</v>
      </c>
      <c r="C777" s="48" t="s">
        <v>400</v>
      </c>
      <c r="D777" s="49" t="str">
        <f>IF(C777&lt;&gt;"",VLOOKUP(C777,'Dummy Table'!$B$3:$C$30,2,FALSE),"")</f>
        <v>Argentina</v>
      </c>
      <c r="E777" s="49" t="str">
        <f>IF(C777&lt;&gt;"",VLOOKUP(C777,'Dummy Table'!$B$3:$D$30,3,FALSE),"")</f>
        <v>Alpine</v>
      </c>
      <c r="F777" s="51"/>
      <c r="G777" s="72"/>
      <c r="H777" s="72"/>
      <c r="I777" s="72"/>
      <c r="J777" s="67"/>
      <c r="M777" s="84"/>
      <c r="N777" s="84"/>
      <c r="O777" s="84"/>
    </row>
    <row r="778" spans="1:15" s="66" customFormat="1" x14ac:dyDescent="0.2">
      <c r="A778" s="62"/>
      <c r="B778" s="60">
        <f>$J$16</f>
        <v>15</v>
      </c>
      <c r="C778" s="48" t="s">
        <v>319</v>
      </c>
      <c r="D778" s="49" t="str">
        <f>IF(C778&lt;&gt;"",VLOOKUP(C778,'Dummy Table'!$B$3:$C$30,2,FALSE),"")</f>
        <v>França</v>
      </c>
      <c r="E778" s="49" t="str">
        <f>IF(C778&lt;&gt;"",VLOOKUP(C778,'Dummy Table'!$B$3:$D$30,3,FALSE),"")</f>
        <v>Haas</v>
      </c>
      <c r="F778" s="51"/>
      <c r="G778" s="72"/>
      <c r="H778" s="72"/>
      <c r="I778" s="72"/>
      <c r="J778" s="67"/>
      <c r="M778" s="84"/>
      <c r="N778" s="84"/>
      <c r="O778" s="84"/>
    </row>
    <row r="779" spans="1:15" s="66" customFormat="1" x14ac:dyDescent="0.2">
      <c r="A779" s="62"/>
      <c r="B779" s="60">
        <f>$J$17</f>
        <v>16</v>
      </c>
      <c r="C779" s="48" t="s">
        <v>312</v>
      </c>
      <c r="D779" s="49" t="str">
        <f>IF(C779&lt;&gt;"",VLOOKUP(C779,'Dummy Table'!$B$3:$C$30,2,FALSE),"")</f>
        <v>França</v>
      </c>
      <c r="E779" s="49" t="str">
        <f>IF(C779&lt;&gt;"",VLOOKUP(C779,'Dummy Table'!$B$3:$D$30,3,FALSE),"")</f>
        <v>Alpine</v>
      </c>
      <c r="F779" s="51"/>
      <c r="G779" s="72"/>
      <c r="H779" s="72"/>
      <c r="I779" s="72"/>
      <c r="J779" s="67"/>
      <c r="M779" s="84"/>
      <c r="N779" s="84"/>
      <c r="O779" s="84"/>
    </row>
    <row r="780" spans="1:15" s="66" customFormat="1" x14ac:dyDescent="0.2">
      <c r="A780" s="62"/>
      <c r="B780" s="60">
        <f>$J$18</f>
        <v>17</v>
      </c>
      <c r="C780" s="48" t="s">
        <v>311</v>
      </c>
      <c r="D780" s="49" t="str">
        <f>IF(C780&lt;&gt;"",VLOOKUP(C780,'Dummy Table'!$B$3:$C$30,2,FALSE),"")</f>
        <v>Canadá</v>
      </c>
      <c r="E780" s="49" t="str">
        <f>IF(C780&lt;&gt;"",VLOOKUP(C780,'Dummy Table'!$B$3:$D$30,3,FALSE),"")</f>
        <v>Aston Martin</v>
      </c>
      <c r="F780" s="51"/>
      <c r="G780" s="72"/>
      <c r="H780" s="72"/>
      <c r="I780" s="72"/>
      <c r="J780" s="67"/>
      <c r="M780" s="84"/>
      <c r="N780" s="84"/>
      <c r="O780" s="84"/>
    </row>
    <row r="781" spans="1:15" s="66" customFormat="1" x14ac:dyDescent="0.2">
      <c r="A781" s="62"/>
      <c r="B781" s="60">
        <f>$J$19</f>
        <v>18</v>
      </c>
      <c r="C781" s="48" t="s">
        <v>341</v>
      </c>
      <c r="D781" s="49" t="str">
        <f>IF(C781&lt;&gt;"",VLOOKUP(C781,'Dummy Table'!$B$3:$C$30,2,FALSE),"")</f>
        <v>França</v>
      </c>
      <c r="E781" s="49" t="str">
        <f>IF(C781&lt;&gt;"",VLOOKUP(C781,'Dummy Table'!$B$3:$D$30,3,FALSE),"")</f>
        <v>Racing Bulls</v>
      </c>
      <c r="F781" s="51"/>
      <c r="G781" s="72"/>
      <c r="H781" s="72"/>
      <c r="I781" s="72"/>
      <c r="J781" s="67"/>
      <c r="M781" s="84"/>
      <c r="N781" s="84"/>
      <c r="O781" s="84"/>
    </row>
    <row r="782" spans="1:15" s="66" customFormat="1" x14ac:dyDescent="0.2">
      <c r="A782" s="62"/>
      <c r="B782" s="60">
        <f>$J$20</f>
        <v>19</v>
      </c>
      <c r="C782" s="48" t="s">
        <v>338</v>
      </c>
      <c r="D782" s="49" t="str">
        <f>IF(C782&lt;&gt;"",VLOOKUP(C782,'Dummy Table'!$B$3:$C$30,2,FALSE),"")</f>
        <v>Inglaterra</v>
      </c>
      <c r="E782" s="49" t="str">
        <f>IF(C782&lt;&gt;"",VLOOKUP(C782,'Dummy Table'!$B$3:$D$30,3,FALSE),"")</f>
        <v>Haas</v>
      </c>
      <c r="F782" s="51" t="s">
        <v>320</v>
      </c>
      <c r="G782" s="72"/>
      <c r="H782" s="72"/>
      <c r="I782" s="72"/>
      <c r="J782" s="67"/>
      <c r="M782" s="84"/>
      <c r="N782" s="84"/>
      <c r="O782" s="84"/>
    </row>
    <row r="783" spans="1:15" s="66" customFormat="1" x14ac:dyDescent="0.2">
      <c r="A783" s="62"/>
      <c r="B783" s="60">
        <f>$J$21</f>
        <v>20</v>
      </c>
      <c r="C783" s="48" t="s">
        <v>257</v>
      </c>
      <c r="D783" s="49" t="str">
        <f>IF(C783&lt;&gt;"",VLOOKUP(C783,'Dummy Table'!$B$3:$C$30,2,FALSE),"")</f>
        <v>Alemanha</v>
      </c>
      <c r="E783" s="49" t="str">
        <f>IF(C783&lt;&gt;"",VLOOKUP(C783,'Dummy Table'!$B$3:$D$30,3,FALSE),"")</f>
        <v>Kick Sauber</v>
      </c>
      <c r="F783" s="51" t="s">
        <v>320</v>
      </c>
      <c r="G783" s="72"/>
      <c r="H783" s="72"/>
      <c r="I783" s="72"/>
      <c r="J783" s="67"/>
      <c r="M783" s="84"/>
      <c r="N783" s="84"/>
      <c r="O783" s="84"/>
    </row>
    <row r="784" spans="1:15" s="66" customFormat="1" hidden="1" x14ac:dyDescent="0.2">
      <c r="A784" s="62"/>
      <c r="B784" s="76">
        <f>$J$22</f>
        <v>21</v>
      </c>
      <c r="C784" s="75"/>
      <c r="D784" s="65" t="str">
        <f>IF(C784&lt;&gt;"",VLOOKUP(C784,'Dummy Table'!$B$3:$C$30,2,FALSE),"")</f>
        <v/>
      </c>
      <c r="E784" s="65" t="str">
        <f>IF(C784&lt;&gt;"",VLOOKUP(C784,'Dummy Table'!$B$3:$D$30,3,FALSE),"")</f>
        <v/>
      </c>
      <c r="F784" s="77"/>
      <c r="G784" s="72"/>
      <c r="H784" s="72"/>
      <c r="I784" s="72"/>
      <c r="J784" s="67"/>
      <c r="M784" s="84"/>
      <c r="N784" s="84"/>
      <c r="O784" s="84"/>
    </row>
    <row r="785" spans="1:15" s="66" customFormat="1" hidden="1" x14ac:dyDescent="0.2">
      <c r="A785" s="62"/>
      <c r="B785" s="76" t="str">
        <f>$J$23</f>
        <v/>
      </c>
      <c r="C785" s="75"/>
      <c r="D785" s="65" t="str">
        <f>IF(C785&lt;&gt;"",VLOOKUP(C785,'Dummy Table'!$B$3:$C$30,2,FALSE),"")</f>
        <v/>
      </c>
      <c r="E785" s="65" t="str">
        <f>IF(C785&lt;&gt;"",VLOOKUP(C785,'Dummy Table'!$B$3:$D$30,3,FALSE),"")</f>
        <v/>
      </c>
      <c r="F785" s="80"/>
      <c r="G785" s="72"/>
      <c r="H785" s="72"/>
      <c r="I785" s="72"/>
      <c r="J785" s="67"/>
      <c r="M785" s="84"/>
      <c r="N785" s="84"/>
      <c r="O785" s="84"/>
    </row>
    <row r="786" spans="1:15" s="66" customFormat="1" hidden="1" x14ac:dyDescent="0.2">
      <c r="A786" s="62"/>
      <c r="B786" s="76" t="str">
        <f>IF(F786="",$J$24,"Ret")</f>
        <v/>
      </c>
      <c r="C786" s="75"/>
      <c r="D786" s="65" t="str">
        <f>IF(C786&lt;&gt;"",VLOOKUP(C786,'Dummy Table'!$B$3:$C$30,2,FALSE),"")</f>
        <v/>
      </c>
      <c r="E786" s="65" t="str">
        <f>IF(C786&lt;&gt;"",VLOOKUP(C786,'Dummy Table'!$B$3:$D$30,3,FALSE),"")</f>
        <v/>
      </c>
      <c r="F786" s="81"/>
      <c r="G786" s="72"/>
      <c r="H786" s="72"/>
      <c r="I786" s="72"/>
      <c r="J786" s="67"/>
      <c r="M786" s="84"/>
      <c r="N786" s="84"/>
      <c r="O786" s="84"/>
    </row>
    <row r="787" spans="1:15" s="66" customFormat="1" hidden="1" x14ac:dyDescent="0.2">
      <c r="A787" s="62"/>
      <c r="B787" s="76" t="str">
        <f>IF(F787="",$J$25,"Ret")</f>
        <v/>
      </c>
      <c r="C787" s="75"/>
      <c r="D787" s="65" t="str">
        <f>IF(C787&lt;&gt;"",VLOOKUP(C787,'Dummy Table'!$B$3:$C$30,2,FALSE),"")</f>
        <v/>
      </c>
      <c r="E787" s="65" t="str">
        <f>IF(C787&lt;&gt;"",VLOOKUP(C787,'Dummy Table'!$B$3:$D$30,3,FALSE),"")</f>
        <v/>
      </c>
      <c r="F787" s="81"/>
      <c r="G787" s="72"/>
      <c r="H787" s="72"/>
      <c r="I787" s="72"/>
      <c r="J787" s="67"/>
      <c r="M787" s="84"/>
      <c r="N787" s="84"/>
      <c r="O787" s="84"/>
    </row>
    <row r="788" spans="1:15" s="66" customFormat="1" x14ac:dyDescent="0.2">
      <c r="A788" s="62"/>
      <c r="B788" s="52" t="s">
        <v>248</v>
      </c>
      <c r="C788" s="53" t="s">
        <v>334</v>
      </c>
      <c r="D788" s="54" t="str">
        <f>IF(C788&lt;&gt;"",VLOOKUP(C788,'Dummy Table'!$B$3:$C$30,2,FALSE),"")</f>
        <v>Austrália</v>
      </c>
      <c r="E788" s="54" t="str">
        <f>IF(C788&lt;&gt;"",VLOOKUP(C788,'Dummy Table'!$B$3:$D$30,3,FALSE),"")</f>
        <v>McLaren 🏆</v>
      </c>
      <c r="F788" s="55"/>
      <c r="H788" s="72"/>
      <c r="J788" s="67"/>
      <c r="M788" s="84"/>
      <c r="N788" s="84"/>
      <c r="O788" s="84"/>
    </row>
    <row r="789" spans="1:15" s="66" customFormat="1" x14ac:dyDescent="0.2">
      <c r="A789" s="62"/>
      <c r="B789" s="56" t="s">
        <v>238</v>
      </c>
      <c r="C789" s="57" t="s">
        <v>334</v>
      </c>
      <c r="D789" s="54" t="str">
        <f>IF(C789&lt;&gt;"",VLOOKUP(C789,'Dummy Table'!$B$3:$C$30,2,FALSE),"")</f>
        <v>Austrália</v>
      </c>
      <c r="E789" s="54" t="str">
        <f>IF(C789&lt;&gt;"",VLOOKUP(C789,'Dummy Table'!$B$3:$D$30,3,FALSE),"")</f>
        <v>McLaren 🏆</v>
      </c>
      <c r="F789" s="58"/>
      <c r="H789" s="66">
        <f>IF(C789="",F789,0)</f>
        <v>0</v>
      </c>
      <c r="J789" s="67"/>
      <c r="M789" s="84"/>
      <c r="N789" s="84"/>
      <c r="O789" s="84"/>
    </row>
    <row r="790" spans="1:15" s="66" customFormat="1" x14ac:dyDescent="0.2">
      <c r="A790" s="62">
        <v>24</v>
      </c>
      <c r="B790" s="129">
        <f>VLOOKUP($A790,'Calendário atual'!$A$2:$E$30,2,FALSE)</f>
        <v>45998</v>
      </c>
      <c r="C790" s="162" t="str">
        <f>VLOOKUP($A790,'Calendário atual'!$A$2:$E$30,4,FALSE)</f>
        <v>FORMULA 1 ETIHAD AIRWAYS ABU DHABI GRAND PRIX 2025</v>
      </c>
      <c r="D790" s="162"/>
      <c r="E790" s="162"/>
      <c r="F790" s="129" t="str">
        <f>VLOOKUP($A790,'Calendário atual'!$A$2:$E$30,3,FALSE)</f>
        <v>Abu Dhabi</v>
      </c>
      <c r="G790" s="72"/>
      <c r="H790" s="72"/>
      <c r="I790" s="72"/>
      <c r="J790" s="67"/>
      <c r="M790" s="84"/>
      <c r="N790" s="84"/>
      <c r="O790" s="84"/>
    </row>
    <row r="791" spans="1:15" s="66" customFormat="1" x14ac:dyDescent="0.2">
      <c r="A791" s="62"/>
      <c r="B791" s="61" t="s">
        <v>14</v>
      </c>
      <c r="C791" s="61" t="s">
        <v>29</v>
      </c>
      <c r="D791" s="61" t="s">
        <v>16</v>
      </c>
      <c r="E791" s="61" t="s">
        <v>17</v>
      </c>
      <c r="F791" s="61" t="s">
        <v>18</v>
      </c>
      <c r="J791" s="67"/>
      <c r="M791" s="84"/>
      <c r="N791" s="84"/>
      <c r="O791" s="84"/>
    </row>
    <row r="792" spans="1:15" s="66" customFormat="1" x14ac:dyDescent="0.2">
      <c r="A792" s="62"/>
      <c r="B792" s="59">
        <f>$J$2</f>
        <v>1</v>
      </c>
      <c r="C792" s="48"/>
      <c r="D792" s="49" t="str">
        <f>IF(C792&lt;&gt;"",VLOOKUP(C792,'Dummy Table'!$B$3:$C$30,2,FALSE),"")</f>
        <v/>
      </c>
      <c r="E792" s="49" t="str">
        <f>IF(C792&lt;&gt;"",VLOOKUP(C792,'Dummy Table'!$B$3:$D$30,3,FALSE),"")</f>
        <v/>
      </c>
      <c r="F792" s="50">
        <v>25</v>
      </c>
      <c r="G792" s="66">
        <f>IF(C792="",F792,0)</f>
        <v>25</v>
      </c>
      <c r="H792" s="66">
        <f>IF(C792="",F792,0)</f>
        <v>25</v>
      </c>
      <c r="I792" s="66">
        <f>IF(C792="",1,0)</f>
        <v>1</v>
      </c>
      <c r="J792" s="67"/>
      <c r="M792" s="84"/>
      <c r="N792" s="84"/>
      <c r="O792" s="84"/>
    </row>
    <row r="793" spans="1:15" s="66" customFormat="1" x14ac:dyDescent="0.2">
      <c r="A793" s="62"/>
      <c r="B793" s="60">
        <f>$J$3</f>
        <v>2</v>
      </c>
      <c r="C793" s="48"/>
      <c r="D793" s="49" t="str">
        <f>IF(C793&lt;&gt;"",VLOOKUP(C793,'Dummy Table'!$B$3:$C$30,2,FALSE),"")</f>
        <v/>
      </c>
      <c r="E793" s="49" t="str">
        <f>IF(C793&lt;&gt;"",VLOOKUP(C793,'Dummy Table'!$B$3:$D$30,3,FALSE),"")</f>
        <v/>
      </c>
      <c r="F793" s="50">
        <v>18</v>
      </c>
      <c r="H793" s="66">
        <f>IF(C793="",F793,0)</f>
        <v>18</v>
      </c>
      <c r="J793" s="67"/>
      <c r="M793" s="84"/>
      <c r="N793" s="84"/>
      <c r="O793" s="84"/>
    </row>
    <row r="794" spans="1:15" s="66" customFormat="1" x14ac:dyDescent="0.2">
      <c r="A794" s="62"/>
      <c r="B794" s="60">
        <f>$J$4</f>
        <v>3</v>
      </c>
      <c r="C794" s="48"/>
      <c r="D794" s="49" t="str">
        <f>IF(C794&lt;&gt;"",VLOOKUP(C794,'Dummy Table'!$B$3:$C$30,2,FALSE),"")</f>
        <v/>
      </c>
      <c r="E794" s="49" t="str">
        <f>IF(C794&lt;&gt;"",VLOOKUP(C794,'Dummy Table'!$B$3:$D$30,3,FALSE),"")</f>
        <v/>
      </c>
      <c r="F794" s="50">
        <v>15</v>
      </c>
      <c r="J794" s="67"/>
      <c r="M794" s="84"/>
      <c r="N794" s="84"/>
      <c r="O794" s="84"/>
    </row>
    <row r="795" spans="1:15" s="66" customFormat="1" x14ac:dyDescent="0.2">
      <c r="A795" s="62"/>
      <c r="B795" s="60">
        <f>$J$5</f>
        <v>4</v>
      </c>
      <c r="C795" s="48"/>
      <c r="D795" s="49" t="str">
        <f>IF(C795&lt;&gt;"",VLOOKUP(C795,'Dummy Table'!$B$3:$C$30,2,FALSE),"")</f>
        <v/>
      </c>
      <c r="E795" s="49" t="str">
        <f>IF(C795&lt;&gt;"",VLOOKUP(C795,'Dummy Table'!$B$3:$D$30,3,FALSE),"")</f>
        <v/>
      </c>
      <c r="F795" s="50">
        <v>12</v>
      </c>
      <c r="J795" s="67"/>
      <c r="M795" s="84"/>
      <c r="N795" s="84"/>
      <c r="O795" s="84"/>
    </row>
    <row r="796" spans="1:15" s="66" customFormat="1" x14ac:dyDescent="0.2">
      <c r="A796" s="62"/>
      <c r="B796" s="60">
        <f>$J$6</f>
        <v>5</v>
      </c>
      <c r="C796" s="48"/>
      <c r="D796" s="49" t="str">
        <f>IF(C796&lt;&gt;"",VLOOKUP(C796,'Dummy Table'!$B$3:$C$30,2,FALSE),"")</f>
        <v/>
      </c>
      <c r="E796" s="49" t="str">
        <f>IF(C796&lt;&gt;"",VLOOKUP(C796,'Dummy Table'!$B$3:$D$30,3,FALSE),"")</f>
        <v/>
      </c>
      <c r="F796" s="50">
        <v>10</v>
      </c>
      <c r="J796" s="67"/>
      <c r="M796" s="84"/>
      <c r="N796" s="84"/>
      <c r="O796" s="84"/>
    </row>
    <row r="797" spans="1:15" s="66" customFormat="1" x14ac:dyDescent="0.2">
      <c r="A797" s="62"/>
      <c r="B797" s="60">
        <f>$J$7</f>
        <v>6</v>
      </c>
      <c r="C797" s="48"/>
      <c r="D797" s="49" t="str">
        <f>IF(C797&lt;&gt;"",VLOOKUP(C797,'Dummy Table'!$B$3:$C$30,2,FALSE),"")</f>
        <v/>
      </c>
      <c r="E797" s="49" t="str">
        <f>IF(C797&lt;&gt;"",VLOOKUP(C797,'Dummy Table'!$B$3:$D$30,3,FALSE),"")</f>
        <v/>
      </c>
      <c r="F797" s="50">
        <v>8</v>
      </c>
      <c r="J797" s="67"/>
      <c r="M797" s="84"/>
      <c r="N797" s="84"/>
      <c r="O797" s="84"/>
    </row>
    <row r="798" spans="1:15" s="66" customFormat="1" x14ac:dyDescent="0.2">
      <c r="A798" s="62"/>
      <c r="B798" s="60">
        <f>$J$8</f>
        <v>7</v>
      </c>
      <c r="C798" s="48"/>
      <c r="D798" s="49" t="str">
        <f>IF(C798&lt;&gt;"",VLOOKUP(C798,'Dummy Table'!$B$3:$C$30,2,FALSE),"")</f>
        <v/>
      </c>
      <c r="E798" s="49" t="str">
        <f>IF(C798&lt;&gt;"",VLOOKUP(C798,'Dummy Table'!$B$3:$D$30,3,FALSE),"")</f>
        <v/>
      </c>
      <c r="F798" s="50">
        <v>6</v>
      </c>
      <c r="J798" s="67"/>
      <c r="M798" s="84"/>
      <c r="N798" s="84"/>
      <c r="O798" s="84"/>
    </row>
    <row r="799" spans="1:15" s="66" customFormat="1" x14ac:dyDescent="0.2">
      <c r="A799" s="62"/>
      <c r="B799" s="60">
        <f>$J$9</f>
        <v>8</v>
      </c>
      <c r="C799" s="48"/>
      <c r="D799" s="49" t="str">
        <f>IF(C799&lt;&gt;"",VLOOKUP(C799,'Dummy Table'!$B$3:$C$30,2,FALSE),"")</f>
        <v/>
      </c>
      <c r="E799" s="49" t="str">
        <f>IF(C799&lt;&gt;"",VLOOKUP(C799,'Dummy Table'!$B$3:$D$30,3,FALSE),"")</f>
        <v/>
      </c>
      <c r="F799" s="50">
        <v>4</v>
      </c>
      <c r="J799" s="67"/>
      <c r="M799" s="84"/>
      <c r="N799" s="84"/>
      <c r="O799" s="84"/>
    </row>
    <row r="800" spans="1:15" s="66" customFormat="1" x14ac:dyDescent="0.2">
      <c r="A800" s="62"/>
      <c r="B800" s="60">
        <f>$J$10</f>
        <v>9</v>
      </c>
      <c r="C800" s="48"/>
      <c r="D800" s="49" t="str">
        <f>IF(C800&lt;&gt;"",VLOOKUP(C800,'Dummy Table'!$B$3:$C$30,2,FALSE),"")</f>
        <v/>
      </c>
      <c r="E800" s="49" t="str">
        <f>IF(C800&lt;&gt;"",VLOOKUP(C800,'Dummy Table'!$B$3:$D$30,3,FALSE),"")</f>
        <v/>
      </c>
      <c r="F800" s="50">
        <v>2</v>
      </c>
      <c r="J800" s="67"/>
      <c r="M800" s="84"/>
      <c r="N800" s="84"/>
      <c r="O800" s="84"/>
    </row>
    <row r="801" spans="1:15" s="66" customFormat="1" x14ac:dyDescent="0.2">
      <c r="A801" s="62"/>
      <c r="B801" s="60">
        <f>$J$11</f>
        <v>10</v>
      </c>
      <c r="C801" s="48"/>
      <c r="D801" s="49" t="str">
        <f>IF(C801&lt;&gt;"",VLOOKUP(C801,'Dummy Table'!$B$3:$C$30,2,FALSE),"")</f>
        <v/>
      </c>
      <c r="E801" s="49" t="str">
        <f>IF(C801&lt;&gt;"",VLOOKUP(C801,'Dummy Table'!$B$3:$D$30,3,FALSE),"")</f>
        <v/>
      </c>
      <c r="F801" s="50">
        <v>1</v>
      </c>
      <c r="J801" s="67"/>
      <c r="M801" s="84"/>
      <c r="N801" s="84"/>
      <c r="O801" s="84"/>
    </row>
    <row r="802" spans="1:15" s="66" customFormat="1" x14ac:dyDescent="0.2">
      <c r="A802" s="62"/>
      <c r="B802" s="60">
        <f>$J$12</f>
        <v>11</v>
      </c>
      <c r="C802" s="48"/>
      <c r="D802" s="49" t="str">
        <f>IF(C802&lt;&gt;"",VLOOKUP(C802,'Dummy Table'!$B$3:$C$30,2,FALSE),"")</f>
        <v/>
      </c>
      <c r="E802" s="49" t="str">
        <f>IF(C802&lt;&gt;"",VLOOKUP(C802,'Dummy Table'!$B$3:$D$30,3,FALSE),"")</f>
        <v/>
      </c>
      <c r="F802" s="51"/>
      <c r="J802" s="67"/>
      <c r="M802" s="84"/>
      <c r="N802" s="84"/>
      <c r="O802" s="84"/>
    </row>
    <row r="803" spans="1:15" s="66" customFormat="1" x14ac:dyDescent="0.2">
      <c r="A803" s="62"/>
      <c r="B803" s="60">
        <f>$J$13</f>
        <v>12</v>
      </c>
      <c r="C803" s="48"/>
      <c r="D803" s="49" t="str">
        <f>IF(C803&lt;&gt;"",VLOOKUP(C803,'Dummy Table'!$B$3:$C$30,2,FALSE),"")</f>
        <v/>
      </c>
      <c r="E803" s="49" t="str">
        <f>IF(C803&lt;&gt;"",VLOOKUP(C803,'Dummy Table'!$B$3:$D$30,3,FALSE),"")</f>
        <v/>
      </c>
      <c r="F803" s="51"/>
      <c r="J803" s="67"/>
      <c r="M803" s="84"/>
      <c r="N803" s="84"/>
      <c r="O803" s="84"/>
    </row>
    <row r="804" spans="1:15" s="66" customFormat="1" x14ac:dyDescent="0.2">
      <c r="A804" s="62"/>
      <c r="B804" s="60">
        <f>$J$14</f>
        <v>13</v>
      </c>
      <c r="C804" s="48"/>
      <c r="D804" s="49" t="str">
        <f>IF(C804&lt;&gt;"",VLOOKUP(C804,'Dummy Table'!$B$3:$C$30,2,FALSE),"")</f>
        <v/>
      </c>
      <c r="E804" s="49" t="str">
        <f>IF(C804&lt;&gt;"",VLOOKUP(C804,'Dummy Table'!$B$3:$D$30,3,FALSE),"")</f>
        <v/>
      </c>
      <c r="F804" s="51"/>
      <c r="G804" s="72"/>
      <c r="H804" s="72"/>
      <c r="I804" s="72"/>
      <c r="J804" s="67"/>
      <c r="M804" s="84"/>
      <c r="N804" s="84"/>
      <c r="O804" s="84"/>
    </row>
    <row r="805" spans="1:15" s="66" customFormat="1" x14ac:dyDescent="0.2">
      <c r="A805" s="62"/>
      <c r="B805" s="60">
        <f>$J$15</f>
        <v>14</v>
      </c>
      <c r="C805" s="48"/>
      <c r="D805" s="49" t="str">
        <f>IF(C805&lt;&gt;"",VLOOKUP(C805,'Dummy Table'!$B$3:$C$30,2,FALSE),"")</f>
        <v/>
      </c>
      <c r="E805" s="49" t="str">
        <f>IF(C805&lt;&gt;"",VLOOKUP(C805,'Dummy Table'!$B$3:$D$30,3,FALSE),"")</f>
        <v/>
      </c>
      <c r="F805" s="51"/>
      <c r="G805" s="72"/>
      <c r="H805" s="72"/>
      <c r="I805" s="72"/>
      <c r="J805" s="67"/>
      <c r="M805" s="84"/>
      <c r="N805" s="84"/>
      <c r="O805" s="84"/>
    </row>
    <row r="806" spans="1:15" s="66" customFormat="1" x14ac:dyDescent="0.2">
      <c r="A806" s="62"/>
      <c r="B806" s="60">
        <f>$J$16</f>
        <v>15</v>
      </c>
      <c r="C806" s="48"/>
      <c r="D806" s="49" t="str">
        <f>IF(C806&lt;&gt;"",VLOOKUP(C806,'Dummy Table'!$B$3:$C$30,2,FALSE),"")</f>
        <v/>
      </c>
      <c r="E806" s="49" t="str">
        <f>IF(C806&lt;&gt;"",VLOOKUP(C806,'Dummy Table'!$B$3:$D$30,3,FALSE),"")</f>
        <v/>
      </c>
      <c r="F806" s="51"/>
      <c r="G806" s="72"/>
      <c r="H806" s="72"/>
      <c r="I806" s="72"/>
      <c r="J806" s="67"/>
      <c r="M806" s="84"/>
      <c r="N806" s="84"/>
      <c r="O806" s="84"/>
    </row>
    <row r="807" spans="1:15" s="66" customFormat="1" x14ac:dyDescent="0.2">
      <c r="A807" s="62"/>
      <c r="B807" s="60">
        <f>$J$17</f>
        <v>16</v>
      </c>
      <c r="C807" s="48"/>
      <c r="D807" s="49" t="str">
        <f>IF(C807&lt;&gt;"",VLOOKUP(C807,'Dummy Table'!$B$3:$C$30,2,FALSE),"")</f>
        <v/>
      </c>
      <c r="E807" s="49" t="str">
        <f>IF(C807&lt;&gt;"",VLOOKUP(C807,'Dummy Table'!$B$3:$D$30,3,FALSE),"")</f>
        <v/>
      </c>
      <c r="F807" s="51"/>
      <c r="G807" s="72"/>
      <c r="H807" s="72"/>
      <c r="I807" s="72"/>
      <c r="J807" s="67"/>
      <c r="M807" s="84"/>
      <c r="N807" s="84"/>
      <c r="O807" s="84"/>
    </row>
    <row r="808" spans="1:15" s="66" customFormat="1" x14ac:dyDescent="0.2">
      <c r="A808" s="62"/>
      <c r="B808" s="60">
        <f>$J$18</f>
        <v>17</v>
      </c>
      <c r="C808" s="48"/>
      <c r="D808" s="49" t="str">
        <f>IF(C808&lt;&gt;"",VLOOKUP(C808,'Dummy Table'!$B$3:$C$30,2,FALSE),"")</f>
        <v/>
      </c>
      <c r="E808" s="49" t="str">
        <f>IF(C808&lt;&gt;"",VLOOKUP(C808,'Dummy Table'!$B$3:$D$30,3,FALSE),"")</f>
        <v/>
      </c>
      <c r="F808" s="51"/>
      <c r="G808" s="72"/>
      <c r="H808" s="72"/>
      <c r="I808" s="72"/>
      <c r="J808" s="67"/>
      <c r="M808" s="84"/>
      <c r="N808" s="84"/>
      <c r="O808" s="84"/>
    </row>
    <row r="809" spans="1:15" s="66" customFormat="1" x14ac:dyDescent="0.2">
      <c r="A809" s="62"/>
      <c r="B809" s="60">
        <f>$J$19</f>
        <v>18</v>
      </c>
      <c r="C809" s="48"/>
      <c r="D809" s="49" t="str">
        <f>IF(C809&lt;&gt;"",VLOOKUP(C809,'Dummy Table'!$B$3:$C$30,2,FALSE),"")</f>
        <v/>
      </c>
      <c r="E809" s="49" t="str">
        <f>IF(C809&lt;&gt;"",VLOOKUP(C809,'Dummy Table'!$B$3:$D$30,3,FALSE),"")</f>
        <v/>
      </c>
      <c r="F809" s="51"/>
      <c r="G809" s="72"/>
      <c r="H809" s="72"/>
      <c r="I809" s="72"/>
      <c r="J809" s="67"/>
      <c r="M809" s="84"/>
      <c r="N809" s="84"/>
      <c r="O809" s="84"/>
    </row>
    <row r="810" spans="1:15" s="66" customFormat="1" x14ac:dyDescent="0.2">
      <c r="A810" s="62"/>
      <c r="B810" s="60">
        <f>$J$20</f>
        <v>19</v>
      </c>
      <c r="C810" s="48"/>
      <c r="D810" s="49" t="str">
        <f>IF(C810&lt;&gt;"",VLOOKUP(C810,'Dummy Table'!$B$3:$C$30,2,FALSE),"")</f>
        <v/>
      </c>
      <c r="E810" s="49" t="str">
        <f>IF(C810&lt;&gt;"",VLOOKUP(C810,'Dummy Table'!$B$3:$D$30,3,FALSE),"")</f>
        <v/>
      </c>
      <c r="F810" s="51"/>
      <c r="G810" s="72"/>
      <c r="H810" s="72"/>
      <c r="I810" s="72"/>
      <c r="J810" s="67"/>
      <c r="M810" s="84"/>
      <c r="N810" s="84"/>
      <c r="O810" s="84"/>
    </row>
    <row r="811" spans="1:15" s="66" customFormat="1" x14ac:dyDescent="0.2">
      <c r="A811" s="62"/>
      <c r="B811" s="60">
        <f>$J$21</f>
        <v>20</v>
      </c>
      <c r="C811" s="48"/>
      <c r="D811" s="49" t="str">
        <f>IF(C811&lt;&gt;"",VLOOKUP(C811,'Dummy Table'!$B$3:$C$30,2,FALSE),"")</f>
        <v/>
      </c>
      <c r="E811" s="49" t="str">
        <f>IF(C811&lt;&gt;"",VLOOKUP(C811,'Dummy Table'!$B$3:$D$30,3,FALSE),"")</f>
        <v/>
      </c>
      <c r="F811" s="51"/>
      <c r="G811" s="72"/>
      <c r="H811" s="72"/>
      <c r="I811" s="72"/>
      <c r="J811" s="67"/>
      <c r="M811" s="84"/>
      <c r="N811" s="84"/>
      <c r="O811" s="84"/>
    </row>
    <row r="812" spans="1:15" s="66" customFormat="1" hidden="1" x14ac:dyDescent="0.2">
      <c r="A812" s="62"/>
      <c r="B812" s="76">
        <f>$J$22</f>
        <v>21</v>
      </c>
      <c r="C812" s="75"/>
      <c r="D812" s="65" t="str">
        <f>IF(C812&lt;&gt;"",VLOOKUP(C812,'Dummy Table'!$B$3:$C$30,2,FALSE),"")</f>
        <v/>
      </c>
      <c r="E812" s="65" t="str">
        <f>IF(C812&lt;&gt;"",VLOOKUP(C812,'Dummy Table'!$B$3:$D$30,3,FALSE),"")</f>
        <v/>
      </c>
      <c r="F812" s="77"/>
      <c r="G812" s="72"/>
      <c r="H812" s="72"/>
      <c r="I812" s="72"/>
      <c r="J812" s="67"/>
      <c r="M812" s="84"/>
      <c r="N812" s="84"/>
      <c r="O812" s="84"/>
    </row>
    <row r="813" spans="1:15" s="66" customFormat="1" hidden="1" x14ac:dyDescent="0.2">
      <c r="A813" s="62"/>
      <c r="B813" s="76" t="str">
        <f>$J$23</f>
        <v/>
      </c>
      <c r="C813" s="75"/>
      <c r="D813" s="65" t="str">
        <f>IF(C813&lt;&gt;"",VLOOKUP(C813,'Dummy Table'!$B$3:$C$30,2,FALSE),"")</f>
        <v/>
      </c>
      <c r="E813" s="65" t="str">
        <f>IF(C813&lt;&gt;"",VLOOKUP(C813,'Dummy Table'!$B$3:$D$30,3,FALSE),"")</f>
        <v/>
      </c>
      <c r="F813" s="80"/>
      <c r="G813" s="72"/>
      <c r="H813" s="72"/>
      <c r="I813" s="72"/>
      <c r="J813" s="67"/>
      <c r="M813" s="84"/>
      <c r="N813" s="84"/>
      <c r="O813" s="84"/>
    </row>
    <row r="814" spans="1:15" s="66" customFormat="1" hidden="1" x14ac:dyDescent="0.2">
      <c r="A814" s="62"/>
      <c r="B814" s="76" t="str">
        <f>IF(F814="",$J$24,"Ret")</f>
        <v/>
      </c>
      <c r="C814" s="75"/>
      <c r="D814" s="65" t="str">
        <f>IF(C814&lt;&gt;"",VLOOKUP(C814,'Dummy Table'!$B$3:$C$30,2,FALSE),"")</f>
        <v/>
      </c>
      <c r="E814" s="65" t="str">
        <f>IF(C814&lt;&gt;"",VLOOKUP(C814,'Dummy Table'!$B$3:$D$30,3,FALSE),"")</f>
        <v/>
      </c>
      <c r="F814" s="81"/>
      <c r="G814" s="72"/>
      <c r="H814" s="72"/>
      <c r="I814" s="72"/>
      <c r="J814" s="67"/>
      <c r="M814" s="84"/>
      <c r="N814" s="84"/>
      <c r="O814" s="84"/>
    </row>
    <row r="815" spans="1:15" s="66" customFormat="1" hidden="1" x14ac:dyDescent="0.2">
      <c r="A815" s="62"/>
      <c r="B815" s="76" t="str">
        <f>IF(F815="",$J$25,"Ret")</f>
        <v/>
      </c>
      <c r="C815" s="75"/>
      <c r="D815" s="65" t="str">
        <f>IF(C815&lt;&gt;"",VLOOKUP(C815,'Dummy Table'!$B$3:$C$30,2,FALSE),"")</f>
        <v/>
      </c>
      <c r="E815" s="65" t="str">
        <f>IF(C815&lt;&gt;"",VLOOKUP(C815,'Dummy Table'!$B$3:$D$30,3,FALSE),"")</f>
        <v/>
      </c>
      <c r="F815" s="81"/>
      <c r="G815" s="72"/>
      <c r="H815" s="72"/>
      <c r="I815" s="72"/>
      <c r="J815" s="67"/>
      <c r="M815" s="84"/>
      <c r="N815" s="84"/>
      <c r="O815" s="84"/>
    </row>
    <row r="816" spans="1:15" s="66" customFormat="1" x14ac:dyDescent="0.2">
      <c r="A816" s="62"/>
      <c r="B816" s="52" t="s">
        <v>248</v>
      </c>
      <c r="C816" s="53"/>
      <c r="D816" s="54" t="str">
        <f>IF(C816&lt;&gt;"",VLOOKUP(C816,'Dummy Table'!$B$3:$C$30,2,FALSE),"")</f>
        <v/>
      </c>
      <c r="E816" s="54" t="str">
        <f>IF(C816&lt;&gt;"",VLOOKUP(C816,'Dummy Table'!$B$3:$D$30,3,FALSE),"")</f>
        <v/>
      </c>
      <c r="F816" s="55"/>
      <c r="H816" s="72"/>
      <c r="J816" s="67"/>
      <c r="M816" s="84"/>
      <c r="N816" s="84"/>
      <c r="O816" s="84"/>
    </row>
    <row r="817" spans="1:15" s="66" customFormat="1" x14ac:dyDescent="0.2">
      <c r="A817" s="62"/>
      <c r="B817" s="56" t="s">
        <v>238</v>
      </c>
      <c r="C817" s="57"/>
      <c r="D817" s="54" t="str">
        <f>IF(C817&lt;&gt;"",VLOOKUP(C817,'Dummy Table'!$B$3:$C$30,2,FALSE),"")</f>
        <v/>
      </c>
      <c r="E817" s="54" t="str">
        <f>IF(C817&lt;&gt;"",VLOOKUP(C817,'Dummy Table'!$B$3:$D$30,3,FALSE),"")</f>
        <v/>
      </c>
      <c r="F817" s="58"/>
      <c r="H817" s="66">
        <f>IF(C817="",F817,0)</f>
        <v>0</v>
      </c>
      <c r="J817" s="67"/>
      <c r="M817" s="84"/>
      <c r="N817" s="84"/>
      <c r="O817" s="84"/>
    </row>
    <row r="818" spans="1:15" x14ac:dyDescent="0.2">
      <c r="A818" s="85"/>
      <c r="C818" s="86"/>
      <c r="D818" s="66"/>
      <c r="E818" s="66"/>
    </row>
    <row r="819" spans="1:15" x14ac:dyDescent="0.2">
      <c r="A819" s="85"/>
      <c r="C819" s="86"/>
      <c r="D819" s="66"/>
      <c r="E819" s="66"/>
    </row>
    <row r="820" spans="1:15" x14ac:dyDescent="0.2">
      <c r="A820" s="85"/>
      <c r="C820" s="86"/>
      <c r="D820" s="66"/>
      <c r="E820" s="66"/>
    </row>
    <row r="821" spans="1:15" x14ac:dyDescent="0.2">
      <c r="A821" s="85"/>
      <c r="C821" s="86"/>
      <c r="D821" s="66"/>
      <c r="E821" s="66"/>
    </row>
    <row r="822" spans="1:15" x14ac:dyDescent="0.2">
      <c r="A822" s="85"/>
      <c r="C822" s="86"/>
      <c r="D822" s="66"/>
      <c r="E822" s="66"/>
    </row>
    <row r="823" spans="1:15" x14ac:dyDescent="0.2">
      <c r="A823" s="85"/>
      <c r="C823" s="86"/>
      <c r="D823" s="66"/>
      <c r="E823" s="66"/>
    </row>
    <row r="824" spans="1:15" x14ac:dyDescent="0.2">
      <c r="A824" s="85"/>
      <c r="C824" s="86"/>
      <c r="D824" s="66"/>
      <c r="E824" s="66"/>
    </row>
    <row r="825" spans="1:15" x14ac:dyDescent="0.2">
      <c r="A825" s="85"/>
      <c r="C825" s="86"/>
      <c r="D825" s="66"/>
      <c r="E825" s="66"/>
    </row>
    <row r="826" spans="1:15" x14ac:dyDescent="0.2">
      <c r="A826" s="85"/>
      <c r="C826" s="86"/>
      <c r="D826" s="66"/>
      <c r="E826" s="66"/>
    </row>
    <row r="827" spans="1:15" x14ac:dyDescent="0.2">
      <c r="A827" s="85"/>
      <c r="C827" s="86"/>
      <c r="D827" s="66"/>
      <c r="E827" s="66"/>
    </row>
    <row r="828" spans="1:15" x14ac:dyDescent="0.2">
      <c r="A828" s="85"/>
      <c r="C828" s="86"/>
      <c r="D828" s="66"/>
      <c r="E828" s="66"/>
    </row>
    <row r="829" spans="1:15" x14ac:dyDescent="0.2">
      <c r="A829" s="85"/>
      <c r="C829" s="86"/>
      <c r="D829" s="66"/>
      <c r="E829" s="66"/>
    </row>
    <row r="830" spans="1:15" x14ac:dyDescent="0.2">
      <c r="A830" s="85"/>
      <c r="C830" s="86"/>
      <c r="D830" s="66"/>
      <c r="E830" s="66"/>
    </row>
    <row r="831" spans="1:15" x14ac:dyDescent="0.2">
      <c r="A831" s="85"/>
      <c r="C831" s="86"/>
      <c r="D831" s="66"/>
      <c r="E831" s="66"/>
    </row>
    <row r="832" spans="1:15" x14ac:dyDescent="0.2">
      <c r="A832" s="85"/>
      <c r="C832" s="86"/>
      <c r="D832" s="66"/>
      <c r="E832" s="66"/>
    </row>
    <row r="833" spans="1:5" x14ac:dyDescent="0.2">
      <c r="A833" s="85"/>
      <c r="C833" s="86"/>
      <c r="D833" s="66"/>
      <c r="E833" s="66"/>
    </row>
    <row r="834" spans="1:5" x14ac:dyDescent="0.2">
      <c r="A834" s="85"/>
      <c r="C834" s="86"/>
      <c r="D834" s="66"/>
      <c r="E834" s="66"/>
    </row>
    <row r="835" spans="1:5" x14ac:dyDescent="0.2">
      <c r="A835" s="85"/>
      <c r="C835" s="86"/>
      <c r="D835" s="66"/>
      <c r="E835" s="66"/>
    </row>
    <row r="836" spans="1:5" x14ac:dyDescent="0.2">
      <c r="A836" s="85"/>
      <c r="C836" s="86"/>
      <c r="D836" s="66"/>
      <c r="E836" s="66"/>
    </row>
    <row r="837" spans="1:5" x14ac:dyDescent="0.2">
      <c r="A837" s="85"/>
      <c r="C837" s="86"/>
      <c r="D837" s="66"/>
      <c r="E837" s="66"/>
    </row>
    <row r="838" spans="1:5" x14ac:dyDescent="0.2">
      <c r="A838" s="85"/>
      <c r="C838" s="86"/>
      <c r="D838" s="66"/>
      <c r="E838" s="66"/>
    </row>
    <row r="839" spans="1:5" x14ac:dyDescent="0.2">
      <c r="A839" s="85"/>
      <c r="C839" s="86"/>
      <c r="D839" s="66"/>
      <c r="E839" s="66"/>
    </row>
    <row r="840" spans="1:5" x14ac:dyDescent="0.2">
      <c r="A840" s="85"/>
      <c r="C840" s="86"/>
      <c r="D840" s="66"/>
      <c r="E840" s="66"/>
    </row>
    <row r="841" spans="1:5" x14ac:dyDescent="0.2">
      <c r="A841" s="85"/>
      <c r="C841" s="86"/>
      <c r="D841" s="66"/>
      <c r="E841" s="66"/>
    </row>
    <row r="842" spans="1:5" x14ac:dyDescent="0.2">
      <c r="A842" s="85"/>
      <c r="C842" s="86"/>
      <c r="D842" s="66"/>
      <c r="E842" s="66"/>
    </row>
    <row r="843" spans="1:5" x14ac:dyDescent="0.2">
      <c r="A843" s="85"/>
      <c r="C843" s="86"/>
      <c r="D843" s="66"/>
      <c r="E843" s="66"/>
    </row>
    <row r="844" spans="1:5" x14ac:dyDescent="0.2">
      <c r="A844" s="85"/>
      <c r="C844" s="86"/>
      <c r="D844" s="66"/>
      <c r="E844" s="66"/>
    </row>
    <row r="845" spans="1:5" x14ac:dyDescent="0.2">
      <c r="A845" s="85"/>
      <c r="C845" s="86"/>
      <c r="D845" s="66"/>
      <c r="E845" s="66"/>
    </row>
    <row r="846" spans="1:5" x14ac:dyDescent="0.2">
      <c r="A846" s="85"/>
      <c r="C846" s="86"/>
      <c r="D846" s="66"/>
      <c r="E846" s="66"/>
    </row>
    <row r="847" spans="1:5" x14ac:dyDescent="0.2">
      <c r="A847" s="85"/>
      <c r="C847" s="86"/>
      <c r="D847" s="66"/>
      <c r="E847" s="66"/>
    </row>
    <row r="848" spans="1:5" x14ac:dyDescent="0.2">
      <c r="A848" s="85"/>
      <c r="C848" s="86"/>
      <c r="D848" s="66"/>
      <c r="E848" s="66"/>
    </row>
    <row r="849" spans="1:5" x14ac:dyDescent="0.2">
      <c r="A849" s="85"/>
      <c r="C849" s="86"/>
      <c r="D849" s="66"/>
      <c r="E849" s="66"/>
    </row>
    <row r="850" spans="1:5" x14ac:dyDescent="0.2">
      <c r="A850" s="85"/>
      <c r="C850" s="86"/>
      <c r="D850" s="66"/>
      <c r="E850" s="66"/>
    </row>
    <row r="851" spans="1:5" x14ac:dyDescent="0.2">
      <c r="A851" s="85"/>
      <c r="C851" s="86"/>
      <c r="D851" s="66"/>
      <c r="E851" s="66"/>
    </row>
    <row r="852" spans="1:5" x14ac:dyDescent="0.2">
      <c r="A852" s="85"/>
      <c r="C852" s="86"/>
      <c r="D852" s="66"/>
      <c r="E852" s="66"/>
    </row>
    <row r="853" spans="1:5" x14ac:dyDescent="0.2">
      <c r="A853" s="85"/>
      <c r="C853" s="86"/>
      <c r="D853" s="66"/>
      <c r="E853" s="66"/>
    </row>
    <row r="854" spans="1:5" x14ac:dyDescent="0.2">
      <c r="C854" s="86"/>
    </row>
    <row r="855" spans="1:5" x14ac:dyDescent="0.2">
      <c r="C855" s="86"/>
    </row>
    <row r="856" spans="1:5" x14ac:dyDescent="0.2">
      <c r="C856" s="86"/>
    </row>
  </sheetData>
  <sheetProtection algorithmName="SHA-512" hashValue="HO1r0B9+Xhz4Ylvc7rA4qn4mYE2kd6J0BEHl6FGtf96RtQ2s7OlmRyLkamsmQqCY77TJdCbr+6aN3svcaZnYqw==" saltValue="SEUR7c2+5XgmKLw1mrg8LA==" spinCount="100000" sheet="1" selectLockedCells="1"/>
  <dataConsolidate/>
  <mergeCells count="27">
    <mergeCell ref="C110:E110"/>
    <mergeCell ref="C138:E138"/>
    <mergeCell ref="C166:E166"/>
    <mergeCell ref="S2:U2"/>
    <mergeCell ref="C2:E2"/>
    <mergeCell ref="C30:E30"/>
    <mergeCell ref="C82:E82"/>
    <mergeCell ref="M2:O2"/>
    <mergeCell ref="P2:R2"/>
    <mergeCell ref="C494:E494"/>
    <mergeCell ref="C522:E522"/>
    <mergeCell ref="C386:E386"/>
    <mergeCell ref="C438:E438"/>
    <mergeCell ref="C466:E466"/>
    <mergeCell ref="C302:E302"/>
    <mergeCell ref="C330:E330"/>
    <mergeCell ref="C358:E358"/>
    <mergeCell ref="C218:E218"/>
    <mergeCell ref="C246:E246"/>
    <mergeCell ref="C274:E274"/>
    <mergeCell ref="C738:E738"/>
    <mergeCell ref="C790:E790"/>
    <mergeCell ref="C550:E550"/>
    <mergeCell ref="C578:E578"/>
    <mergeCell ref="C630:E630"/>
    <mergeCell ref="C658:E658"/>
    <mergeCell ref="C710:E710"/>
  </mergeCells>
  <phoneticPr fontId="1" type="noConversion"/>
  <conditionalFormatting sqref="F29">
    <cfRule type="cellIs" dxfId="8" priority="48" operator="equal">
      <formula>0</formula>
    </cfRule>
  </conditionalFormatting>
  <conditionalFormatting sqref="F81 F109 F137 F165 F217 F245 F273 F301 F329 F357 F385 F437 F465 F493 F521 F549">
    <cfRule type="cellIs" dxfId="7" priority="8" operator="equal">
      <formula>0</formula>
    </cfRule>
  </conditionalFormatting>
  <conditionalFormatting sqref="F577">
    <cfRule type="cellIs" dxfId="6" priority="7" operator="equal">
      <formula>0</formula>
    </cfRule>
  </conditionalFormatting>
  <conditionalFormatting sqref="F629">
    <cfRule type="cellIs" dxfId="5" priority="6" operator="equal">
      <formula>0</formula>
    </cfRule>
  </conditionalFormatting>
  <conditionalFormatting sqref="F657">
    <cfRule type="cellIs" dxfId="4" priority="5" operator="equal">
      <formula>0</formula>
    </cfRule>
  </conditionalFormatting>
  <conditionalFormatting sqref="F709">
    <cfRule type="cellIs" dxfId="3" priority="4" operator="equal">
      <formula>0</formula>
    </cfRule>
  </conditionalFormatting>
  <conditionalFormatting sqref="F737">
    <cfRule type="cellIs" dxfId="2" priority="3" operator="equal">
      <formula>0</formula>
    </cfRule>
  </conditionalFormatting>
  <conditionalFormatting sqref="F789">
    <cfRule type="cellIs" dxfId="1" priority="2" operator="equal">
      <formula>0</formula>
    </cfRule>
  </conditionalFormatting>
  <conditionalFormatting sqref="F817">
    <cfRule type="cellIs" dxfId="0" priority="1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4:C29 C248:C273 C524:C549 C496:C521 C468:C493 C440:C465 C412:C437 C360:C385 C332:C357 C304:C329 C741:C761 C220:C245 C192:C217 C140:C165 C112:C137 C84:C109 C56:C81 C604:C629 C632:C657 C684:C709 C712:C737 C764:C789 C792:C817 C552:C577 C169:C189 C33:C53 C389:C409 C581:C601 C661:C681 C276:C301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9" tint="-0.249977111117893"/>
  </sheetPr>
  <dimension ref="B1:K30"/>
  <sheetViews>
    <sheetView showGridLines="0" showRowColHeaders="0" workbookViewId="0">
      <selection activeCell="C24" sqref="C24"/>
    </sheetView>
  </sheetViews>
  <sheetFormatPr defaultRowHeight="12.75" x14ac:dyDescent="0.2"/>
  <cols>
    <col min="1" max="1" width="4.7109375" style="89" customWidth="1"/>
    <col min="2" max="2" width="4.28515625" style="89" bestFit="1" customWidth="1"/>
    <col min="3" max="3" width="23.140625" style="89" bestFit="1" customWidth="1"/>
    <col min="4" max="4" width="4.28515625" style="89" customWidth="1"/>
    <col min="5" max="5" width="15.42578125" style="90" customWidth="1"/>
    <col min="6" max="6" width="19.7109375" style="90" customWidth="1"/>
    <col min="7" max="7" width="4.7109375" style="89" customWidth="1"/>
    <col min="8" max="8" width="6" style="89" customWidth="1"/>
    <col min="9" max="9" width="22.42578125" style="89" bestFit="1" customWidth="1"/>
    <col min="10" max="10" width="15.42578125" style="89" customWidth="1"/>
    <col min="11" max="11" width="19.7109375" style="89" customWidth="1"/>
    <col min="12" max="16384" width="9.140625" style="89"/>
  </cols>
  <sheetData>
    <row r="1" spans="2:11" ht="13.5" thickBot="1" x14ac:dyDescent="0.25"/>
    <row r="2" spans="2:11" s="92" customFormat="1" ht="21" customHeight="1" x14ac:dyDescent="0.2">
      <c r="B2" s="95" t="s">
        <v>10</v>
      </c>
      <c r="C2" s="96" t="s">
        <v>15</v>
      </c>
      <c r="D2" s="96" t="s">
        <v>256</v>
      </c>
      <c r="E2" s="96" t="s">
        <v>16</v>
      </c>
      <c r="F2" s="97" t="s">
        <v>17</v>
      </c>
      <c r="G2" s="91"/>
      <c r="H2" s="95" t="s">
        <v>10</v>
      </c>
      <c r="I2" s="96" t="s">
        <v>17</v>
      </c>
      <c r="J2" s="96" t="s">
        <v>16</v>
      </c>
      <c r="K2" s="97" t="s">
        <v>240</v>
      </c>
    </row>
    <row r="3" spans="2:11" ht="13.5" customHeight="1" x14ac:dyDescent="0.2">
      <c r="B3" s="98">
        <f>IF(C3&lt;&gt;"",1,"")</f>
        <v>1</v>
      </c>
      <c r="C3" s="93" t="s">
        <v>316</v>
      </c>
      <c r="D3" s="104">
        <v>4</v>
      </c>
      <c r="E3" s="100" t="s">
        <v>20</v>
      </c>
      <c r="F3" s="101" t="s">
        <v>403</v>
      </c>
      <c r="H3" s="98">
        <f>IF(I3&lt;&gt;"",1,"")</f>
        <v>1</v>
      </c>
      <c r="I3" s="93" t="s">
        <v>403</v>
      </c>
      <c r="J3" s="100" t="s">
        <v>20</v>
      </c>
      <c r="K3" s="101" t="s">
        <v>241</v>
      </c>
    </row>
    <row r="4" spans="2:11" ht="13.5" customHeight="1" x14ac:dyDescent="0.2">
      <c r="B4" s="98">
        <f t="shared" ref="B4:B30" si="0">IF(C4&lt;&gt;"",B3+1,"")</f>
        <v>2</v>
      </c>
      <c r="C4" s="93" t="s">
        <v>334</v>
      </c>
      <c r="D4" s="104">
        <v>81</v>
      </c>
      <c r="E4" s="100" t="s">
        <v>189</v>
      </c>
      <c r="F4" s="101" t="s">
        <v>403</v>
      </c>
      <c r="H4" s="98">
        <f>IF(I4&lt;&gt;"",H3+1,"")</f>
        <v>2</v>
      </c>
      <c r="I4" s="93" t="s">
        <v>0</v>
      </c>
      <c r="J4" s="100" t="s">
        <v>188</v>
      </c>
      <c r="K4" s="101" t="s">
        <v>0</v>
      </c>
    </row>
    <row r="5" spans="2:11" ht="13.5" customHeight="1" x14ac:dyDescent="0.2">
      <c r="B5" s="98">
        <f t="shared" si="0"/>
        <v>3</v>
      </c>
      <c r="C5" s="93" t="s">
        <v>313</v>
      </c>
      <c r="D5" s="104">
        <v>16</v>
      </c>
      <c r="E5" s="100" t="s">
        <v>314</v>
      </c>
      <c r="F5" s="101" t="s">
        <v>0</v>
      </c>
      <c r="H5" s="98">
        <f t="shared" ref="H5:H15" si="1">IF(I5&lt;&gt;"",H4+1,"")</f>
        <v>3</v>
      </c>
      <c r="I5" s="93" t="s">
        <v>11</v>
      </c>
      <c r="J5" s="100" t="s">
        <v>239</v>
      </c>
      <c r="K5" s="101" t="s">
        <v>332</v>
      </c>
    </row>
    <row r="6" spans="2:11" ht="13.5" customHeight="1" x14ac:dyDescent="0.2">
      <c r="B6" s="98">
        <f t="shared" si="0"/>
        <v>4</v>
      </c>
      <c r="C6" s="93" t="s">
        <v>1</v>
      </c>
      <c r="D6" s="104">
        <v>44</v>
      </c>
      <c r="E6" s="100" t="s">
        <v>20</v>
      </c>
      <c r="F6" s="101" t="s">
        <v>0</v>
      </c>
      <c r="H6" s="98">
        <f t="shared" si="1"/>
        <v>4</v>
      </c>
      <c r="I6" s="93" t="s">
        <v>241</v>
      </c>
      <c r="J6" s="100" t="s">
        <v>21</v>
      </c>
      <c r="K6" s="101" t="s">
        <v>241</v>
      </c>
    </row>
    <row r="7" spans="2:11" ht="13.5" customHeight="1" x14ac:dyDescent="0.2">
      <c r="B7" s="98">
        <f t="shared" si="0"/>
        <v>5</v>
      </c>
      <c r="C7" s="93" t="s">
        <v>305</v>
      </c>
      <c r="D7" s="104">
        <v>1</v>
      </c>
      <c r="E7" s="100" t="s">
        <v>306</v>
      </c>
      <c r="F7" s="101" t="s">
        <v>11</v>
      </c>
      <c r="H7" s="98">
        <f>IF(I7&lt;&gt;"",H6+1,"")</f>
        <v>5</v>
      </c>
      <c r="I7" s="93" t="s">
        <v>333</v>
      </c>
      <c r="J7" s="100" t="s">
        <v>20</v>
      </c>
      <c r="K7" s="101" t="s">
        <v>241</v>
      </c>
    </row>
    <row r="8" spans="2:11" ht="13.5" customHeight="1" x14ac:dyDescent="0.2">
      <c r="B8" s="98">
        <f t="shared" si="0"/>
        <v>6</v>
      </c>
      <c r="C8" s="93" t="s">
        <v>335</v>
      </c>
      <c r="D8" s="104">
        <v>30</v>
      </c>
      <c r="E8" s="100" t="s">
        <v>189</v>
      </c>
      <c r="F8" s="101" t="s">
        <v>330</v>
      </c>
      <c r="H8" s="98">
        <f t="shared" si="1"/>
        <v>6</v>
      </c>
      <c r="I8" s="93" t="s">
        <v>331</v>
      </c>
      <c r="J8" s="100" t="s">
        <v>255</v>
      </c>
      <c r="K8" s="101" t="s">
        <v>2</v>
      </c>
    </row>
    <row r="9" spans="2:11" ht="13.5" customHeight="1" x14ac:dyDescent="0.2">
      <c r="B9" s="98">
        <f t="shared" si="0"/>
        <v>7</v>
      </c>
      <c r="C9" s="93" t="s">
        <v>394</v>
      </c>
      <c r="D9" s="104">
        <v>63</v>
      </c>
      <c r="E9" s="100" t="s">
        <v>20</v>
      </c>
      <c r="F9" s="101" t="s">
        <v>241</v>
      </c>
      <c r="H9" s="98">
        <f>IF(I9&lt;&gt;"",H8+1,"")</f>
        <v>7</v>
      </c>
      <c r="I9" s="93" t="s">
        <v>310</v>
      </c>
      <c r="J9" s="100" t="s">
        <v>307</v>
      </c>
      <c r="K9" s="101" t="s">
        <v>0</v>
      </c>
    </row>
    <row r="10" spans="2:11" ht="13.5" customHeight="1" x14ac:dyDescent="0.2">
      <c r="B10" s="98">
        <f t="shared" si="0"/>
        <v>8</v>
      </c>
      <c r="C10" s="93" t="s">
        <v>336</v>
      </c>
      <c r="D10" s="104">
        <v>12</v>
      </c>
      <c r="E10" s="100" t="s">
        <v>188</v>
      </c>
      <c r="F10" s="101" t="s">
        <v>241</v>
      </c>
      <c r="H10" s="98">
        <f t="shared" si="1"/>
        <v>8</v>
      </c>
      <c r="I10" s="93" t="s">
        <v>330</v>
      </c>
      <c r="J10" s="100" t="s">
        <v>188</v>
      </c>
      <c r="K10" s="101" t="s">
        <v>332</v>
      </c>
    </row>
    <row r="11" spans="2:11" ht="13.5" customHeight="1" x14ac:dyDescent="0.2">
      <c r="B11" s="98">
        <f t="shared" si="0"/>
        <v>9</v>
      </c>
      <c r="C11" s="93" t="s">
        <v>311</v>
      </c>
      <c r="D11" s="104">
        <v>18</v>
      </c>
      <c r="E11" s="100" t="s">
        <v>190</v>
      </c>
      <c r="F11" s="101" t="s">
        <v>333</v>
      </c>
      <c r="H11" s="98">
        <f t="shared" si="1"/>
        <v>9</v>
      </c>
      <c r="I11" s="93" t="s">
        <v>12</v>
      </c>
      <c r="J11" s="100" t="s">
        <v>20</v>
      </c>
      <c r="K11" s="101" t="s">
        <v>241</v>
      </c>
    </row>
    <row r="12" spans="2:11" ht="13.5" customHeight="1" x14ac:dyDescent="0.2">
      <c r="B12" s="98">
        <f t="shared" si="0"/>
        <v>10</v>
      </c>
      <c r="C12" s="93" t="s">
        <v>30</v>
      </c>
      <c r="D12" s="104">
        <v>14</v>
      </c>
      <c r="E12" s="100" t="s">
        <v>22</v>
      </c>
      <c r="F12" s="101" t="s">
        <v>333</v>
      </c>
      <c r="H12" s="98">
        <f t="shared" si="1"/>
        <v>10</v>
      </c>
      <c r="I12" s="93" t="s">
        <v>329</v>
      </c>
      <c r="J12" s="100" t="s">
        <v>191</v>
      </c>
      <c r="K12" s="101" t="s">
        <v>0</v>
      </c>
    </row>
    <row r="13" spans="2:11" ht="13.5" customHeight="1" x14ac:dyDescent="0.2">
      <c r="B13" s="98">
        <f t="shared" si="0"/>
        <v>11</v>
      </c>
      <c r="C13" s="93" t="s">
        <v>312</v>
      </c>
      <c r="D13" s="104">
        <v>10</v>
      </c>
      <c r="E13" s="100" t="s">
        <v>255</v>
      </c>
      <c r="F13" s="101" t="s">
        <v>331</v>
      </c>
      <c r="H13" s="98" t="str">
        <f t="shared" si="1"/>
        <v/>
      </c>
      <c r="I13" s="93"/>
      <c r="J13" s="100"/>
      <c r="K13" s="101"/>
    </row>
    <row r="14" spans="2:11" ht="13.5" customHeight="1" x14ac:dyDescent="0.2">
      <c r="B14" s="98">
        <f t="shared" si="0"/>
        <v>12</v>
      </c>
      <c r="C14" s="93" t="s">
        <v>337</v>
      </c>
      <c r="D14" s="104">
        <v>7</v>
      </c>
      <c r="E14" s="100" t="s">
        <v>189</v>
      </c>
      <c r="F14" s="101" t="s">
        <v>331</v>
      </c>
      <c r="H14" s="98" t="str">
        <f t="shared" si="1"/>
        <v/>
      </c>
      <c r="I14" s="93"/>
      <c r="J14" s="100"/>
      <c r="K14" s="101"/>
    </row>
    <row r="15" spans="2:11" ht="13.5" customHeight="1" thickBot="1" x14ac:dyDescent="0.25">
      <c r="B15" s="98">
        <f t="shared" si="0"/>
        <v>13</v>
      </c>
      <c r="C15" s="93" t="s">
        <v>319</v>
      </c>
      <c r="D15" s="104">
        <v>31</v>
      </c>
      <c r="E15" s="100" t="s">
        <v>255</v>
      </c>
      <c r="F15" s="101" t="s">
        <v>310</v>
      </c>
      <c r="H15" s="99" t="str">
        <f t="shared" si="1"/>
        <v/>
      </c>
      <c r="I15" s="94"/>
      <c r="J15" s="102"/>
      <c r="K15" s="103"/>
    </row>
    <row r="16" spans="2:11" ht="13.5" customHeight="1" x14ac:dyDescent="0.2">
      <c r="B16" s="98">
        <f t="shared" si="0"/>
        <v>14</v>
      </c>
      <c r="C16" s="93" t="s">
        <v>338</v>
      </c>
      <c r="D16" s="104">
        <v>87</v>
      </c>
      <c r="E16" s="100" t="s">
        <v>20</v>
      </c>
      <c r="F16" s="101" t="s">
        <v>310</v>
      </c>
    </row>
    <row r="17" spans="2:6" ht="13.5" customHeight="1" x14ac:dyDescent="0.2">
      <c r="B17" s="98">
        <f t="shared" si="0"/>
        <v>15</v>
      </c>
      <c r="C17" s="93" t="s">
        <v>339</v>
      </c>
      <c r="D17" s="104">
        <v>22</v>
      </c>
      <c r="E17" s="100" t="s">
        <v>340</v>
      </c>
      <c r="F17" s="101" t="s">
        <v>11</v>
      </c>
    </row>
    <row r="18" spans="2:6" ht="13.5" customHeight="1" x14ac:dyDescent="0.2">
      <c r="B18" s="98">
        <f t="shared" si="0"/>
        <v>16</v>
      </c>
      <c r="C18" s="93" t="s">
        <v>341</v>
      </c>
      <c r="D18" s="104">
        <v>6</v>
      </c>
      <c r="E18" s="100" t="s">
        <v>255</v>
      </c>
      <c r="F18" s="101" t="s">
        <v>330</v>
      </c>
    </row>
    <row r="19" spans="2:6" ht="13.5" customHeight="1" x14ac:dyDescent="0.2">
      <c r="B19" s="98">
        <f t="shared" si="0"/>
        <v>17</v>
      </c>
      <c r="C19" s="93" t="s">
        <v>315</v>
      </c>
      <c r="D19" s="104">
        <v>23</v>
      </c>
      <c r="E19" s="100" t="s">
        <v>342</v>
      </c>
      <c r="F19" s="101" t="s">
        <v>12</v>
      </c>
    </row>
    <row r="20" spans="2:6" ht="13.5" customHeight="1" x14ac:dyDescent="0.2">
      <c r="B20" s="98">
        <f t="shared" si="0"/>
        <v>18</v>
      </c>
      <c r="C20" s="93" t="s">
        <v>343</v>
      </c>
      <c r="D20" s="104">
        <v>55</v>
      </c>
      <c r="E20" s="100" t="s">
        <v>22</v>
      </c>
      <c r="F20" s="101" t="s">
        <v>12</v>
      </c>
    </row>
    <row r="21" spans="2:6" ht="13.5" customHeight="1" x14ac:dyDescent="0.2">
      <c r="B21" s="98">
        <f t="shared" si="0"/>
        <v>19</v>
      </c>
      <c r="C21" s="93" t="s">
        <v>257</v>
      </c>
      <c r="D21" s="104">
        <v>27</v>
      </c>
      <c r="E21" s="100" t="s">
        <v>21</v>
      </c>
      <c r="F21" s="101" t="s">
        <v>329</v>
      </c>
    </row>
    <row r="22" spans="2:6" ht="13.5" customHeight="1" x14ac:dyDescent="0.2">
      <c r="B22" s="98">
        <f t="shared" si="0"/>
        <v>20</v>
      </c>
      <c r="C22" s="93" t="s">
        <v>344</v>
      </c>
      <c r="D22" s="104">
        <v>5</v>
      </c>
      <c r="E22" s="100" t="s">
        <v>322</v>
      </c>
      <c r="F22" s="101" t="s">
        <v>329</v>
      </c>
    </row>
    <row r="23" spans="2:6" ht="13.5" customHeight="1" x14ac:dyDescent="0.2">
      <c r="B23" s="98">
        <f t="shared" si="0"/>
        <v>21</v>
      </c>
      <c r="C23" s="93" t="s">
        <v>400</v>
      </c>
      <c r="D23" s="104">
        <v>43</v>
      </c>
      <c r="E23" s="100" t="s">
        <v>401</v>
      </c>
      <c r="F23" s="101" t="s">
        <v>331</v>
      </c>
    </row>
    <row r="24" spans="2:6" ht="13.5" customHeight="1" x14ac:dyDescent="0.2">
      <c r="B24" s="98" t="str">
        <f t="shared" si="0"/>
        <v/>
      </c>
      <c r="C24" s="93"/>
      <c r="D24" s="104"/>
      <c r="E24" s="100"/>
      <c r="F24" s="101"/>
    </row>
    <row r="25" spans="2:6" ht="13.5" customHeight="1" x14ac:dyDescent="0.2">
      <c r="B25" s="98" t="str">
        <f t="shared" si="0"/>
        <v/>
      </c>
      <c r="C25" s="93"/>
      <c r="D25" s="104"/>
      <c r="E25" s="100"/>
      <c r="F25" s="101"/>
    </row>
    <row r="26" spans="2:6" ht="13.5" customHeight="1" x14ac:dyDescent="0.2">
      <c r="B26" s="98" t="str">
        <f t="shared" si="0"/>
        <v/>
      </c>
      <c r="C26" s="93"/>
      <c r="D26" s="104"/>
      <c r="E26" s="100"/>
      <c r="F26" s="101"/>
    </row>
    <row r="27" spans="2:6" ht="13.5" customHeight="1" x14ac:dyDescent="0.2">
      <c r="B27" s="98" t="str">
        <f t="shared" si="0"/>
        <v/>
      </c>
      <c r="C27" s="93"/>
      <c r="D27" s="104"/>
      <c r="E27" s="100"/>
      <c r="F27" s="101"/>
    </row>
    <row r="28" spans="2:6" ht="13.5" customHeight="1" x14ac:dyDescent="0.2">
      <c r="B28" s="98" t="str">
        <f t="shared" si="0"/>
        <v/>
      </c>
      <c r="C28" s="93"/>
      <c r="D28" s="104"/>
      <c r="E28" s="100"/>
      <c r="F28" s="101"/>
    </row>
    <row r="29" spans="2:6" ht="13.5" customHeight="1" x14ac:dyDescent="0.2">
      <c r="B29" s="98" t="str">
        <f t="shared" si="0"/>
        <v/>
      </c>
      <c r="C29" s="93"/>
      <c r="D29" s="104"/>
      <c r="E29" s="100"/>
      <c r="F29" s="101"/>
    </row>
    <row r="30" spans="2:6" ht="13.5" customHeight="1" thickBot="1" x14ac:dyDescent="0.25">
      <c r="B30" s="99" t="str">
        <f t="shared" si="0"/>
        <v/>
      </c>
      <c r="C30" s="94"/>
      <c r="D30" s="105"/>
      <c r="E30" s="102"/>
      <c r="F30" s="103"/>
    </row>
  </sheetData>
  <sheetProtection algorithmName="SHA-512" hashValue="g11GmcsXDQXisUX4Opv1uvMlXdV47fER+J39tGHp7HsWEEtA/dztG7xHjXA7L2kQ5GITDmFXwwQzyV29rkUSxw==" saltValue="dgTTYSfI9cLAyqHDL7rvm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9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106" customWidth="1"/>
    <col min="2" max="2" width="9.140625" style="106"/>
    <col min="3" max="3" width="3.7109375" style="107" customWidth="1"/>
    <col min="4" max="4" width="33.28515625" style="106" customWidth="1"/>
    <col min="5" max="5" width="3.7109375" style="107" customWidth="1"/>
    <col min="6" max="6" width="39.5703125" style="106" customWidth="1"/>
    <col min="7" max="7" width="9.140625" style="106"/>
    <col min="8" max="8" width="9.140625" style="108"/>
    <col min="9" max="16384" width="9.140625" style="106"/>
  </cols>
  <sheetData>
    <row r="1" spans="2:6" ht="12.75" customHeight="1" x14ac:dyDescent="0.2"/>
    <row r="2" spans="2:6" s="109" customFormat="1" ht="15" customHeight="1" x14ac:dyDescent="0.2">
      <c r="B2" s="117" t="s">
        <v>150</v>
      </c>
      <c r="C2" s="115"/>
      <c r="D2" s="117" t="s">
        <v>29</v>
      </c>
      <c r="E2" s="114"/>
      <c r="F2" s="117" t="s">
        <v>237</v>
      </c>
    </row>
    <row r="3" spans="2:6" s="109" customFormat="1" ht="15" customHeight="1" x14ac:dyDescent="0.2">
      <c r="B3" s="116">
        <v>2025</v>
      </c>
      <c r="C3" s="115"/>
      <c r="D3" s="111"/>
      <c r="E3" s="114"/>
      <c r="F3" s="112" t="s">
        <v>325</v>
      </c>
    </row>
    <row r="4" spans="2:6" s="109" customFormat="1" ht="15" customHeight="1" x14ac:dyDescent="0.2">
      <c r="B4" s="116">
        <v>2024</v>
      </c>
      <c r="C4" s="115"/>
      <c r="D4" s="111" t="s">
        <v>324</v>
      </c>
      <c r="E4" s="114"/>
      <c r="F4" s="112" t="s">
        <v>325</v>
      </c>
    </row>
    <row r="5" spans="2:6" s="109" customFormat="1" ht="15" customHeight="1" x14ac:dyDescent="0.2">
      <c r="B5" s="116">
        <v>2023</v>
      </c>
      <c r="C5" s="115"/>
      <c r="D5" s="111" t="s">
        <v>324</v>
      </c>
      <c r="E5" s="114"/>
      <c r="F5" s="112" t="s">
        <v>242</v>
      </c>
    </row>
    <row r="6" spans="2:6" s="109" customFormat="1" ht="15" customHeight="1" x14ac:dyDescent="0.2">
      <c r="B6" s="116">
        <v>2022</v>
      </c>
      <c r="C6" s="115"/>
      <c r="D6" s="111" t="s">
        <v>324</v>
      </c>
      <c r="E6" s="114"/>
      <c r="F6" s="112" t="s">
        <v>242</v>
      </c>
    </row>
    <row r="7" spans="2:6" s="109" customFormat="1" ht="15" customHeight="1" x14ac:dyDescent="0.2">
      <c r="B7" s="116">
        <v>2021</v>
      </c>
      <c r="C7" s="115"/>
      <c r="D7" s="111" t="s">
        <v>324</v>
      </c>
      <c r="E7" s="114"/>
      <c r="F7" s="112" t="s">
        <v>242</v>
      </c>
    </row>
    <row r="8" spans="2:6" s="109" customFormat="1" ht="15" customHeight="1" x14ac:dyDescent="0.2">
      <c r="B8" s="116">
        <v>2020</v>
      </c>
      <c r="C8" s="115"/>
      <c r="D8" s="111" t="s">
        <v>304</v>
      </c>
      <c r="E8" s="114"/>
      <c r="F8" s="112" t="s">
        <v>303</v>
      </c>
    </row>
    <row r="9" spans="2:6" s="109" customFormat="1" ht="15" customHeight="1" x14ac:dyDescent="0.2">
      <c r="B9" s="116">
        <v>2019</v>
      </c>
      <c r="C9" s="115"/>
      <c r="D9" s="111" t="s">
        <v>304</v>
      </c>
      <c r="E9" s="114"/>
      <c r="F9" s="112" t="s">
        <v>303</v>
      </c>
    </row>
    <row r="10" spans="2:6" s="109" customFormat="1" ht="15" customHeight="1" x14ac:dyDescent="0.2">
      <c r="B10" s="116">
        <v>2018</v>
      </c>
      <c r="C10" s="115"/>
      <c r="D10" s="111" t="s">
        <v>304</v>
      </c>
      <c r="E10" s="114"/>
      <c r="F10" s="112" t="s">
        <v>303</v>
      </c>
    </row>
    <row r="11" spans="2:6" s="109" customFormat="1" ht="15" customHeight="1" x14ac:dyDescent="0.2">
      <c r="B11" s="116">
        <v>2017</v>
      </c>
      <c r="C11" s="115"/>
      <c r="D11" s="111" t="s">
        <v>304</v>
      </c>
      <c r="E11" s="114"/>
      <c r="F11" s="112" t="s">
        <v>303</v>
      </c>
    </row>
    <row r="12" spans="2:6" s="109" customFormat="1" ht="15" customHeight="1" x14ac:dyDescent="0.2">
      <c r="B12" s="116">
        <v>2016</v>
      </c>
      <c r="C12" s="115"/>
      <c r="D12" s="111" t="s">
        <v>308</v>
      </c>
      <c r="E12" s="114"/>
      <c r="F12" s="112" t="s">
        <v>303</v>
      </c>
    </row>
    <row r="13" spans="2:6" s="109" customFormat="1" ht="15" customHeight="1" x14ac:dyDescent="0.2">
      <c r="B13" s="116">
        <v>2015</v>
      </c>
      <c r="C13" s="115"/>
      <c r="D13" s="111" t="s">
        <v>304</v>
      </c>
      <c r="E13" s="114"/>
      <c r="F13" s="112" t="s">
        <v>303</v>
      </c>
    </row>
    <row r="14" spans="2:6" ht="15.75" customHeight="1" x14ac:dyDescent="0.2">
      <c r="B14" s="116">
        <v>2014</v>
      </c>
      <c r="C14" s="115"/>
      <c r="D14" s="111" t="s">
        <v>304</v>
      </c>
      <c r="E14" s="114"/>
      <c r="F14" s="112" t="s">
        <v>303</v>
      </c>
    </row>
    <row r="15" spans="2:6" ht="15.75" customHeight="1" x14ac:dyDescent="0.2">
      <c r="B15" s="116">
        <v>2013</v>
      </c>
      <c r="C15" s="115"/>
      <c r="D15" s="111" t="s">
        <v>244</v>
      </c>
      <c r="E15" s="114"/>
      <c r="F15" s="112" t="s">
        <v>242</v>
      </c>
    </row>
    <row r="16" spans="2:6" ht="15.75" customHeight="1" x14ac:dyDescent="0.2">
      <c r="B16" s="116">
        <v>2012</v>
      </c>
      <c r="C16" s="115"/>
      <c r="D16" s="111" t="s">
        <v>244</v>
      </c>
      <c r="E16" s="114"/>
      <c r="F16" s="112" t="s">
        <v>242</v>
      </c>
    </row>
    <row r="17" spans="2:6" ht="15.75" customHeight="1" x14ac:dyDescent="0.2">
      <c r="B17" s="116">
        <v>2011</v>
      </c>
      <c r="C17" s="115"/>
      <c r="D17" s="111" t="s">
        <v>244</v>
      </c>
      <c r="E17" s="114"/>
      <c r="F17" s="112" t="s">
        <v>242</v>
      </c>
    </row>
    <row r="18" spans="2:6" ht="15.75" customHeight="1" x14ac:dyDescent="0.2">
      <c r="B18" s="116" t="s">
        <v>153</v>
      </c>
      <c r="C18" s="115"/>
      <c r="D18" s="111" t="s">
        <v>244</v>
      </c>
      <c r="E18" s="114"/>
      <c r="F18" s="112" t="s">
        <v>242</v>
      </c>
    </row>
    <row r="19" spans="2:6" ht="15.75" customHeight="1" x14ac:dyDescent="0.2">
      <c r="B19" s="116" t="s">
        <v>151</v>
      </c>
      <c r="C19" s="114"/>
      <c r="D19" s="111" t="s">
        <v>243</v>
      </c>
      <c r="E19" s="114"/>
      <c r="F19" s="112" t="s">
        <v>152</v>
      </c>
    </row>
    <row r="20" spans="2:6" ht="15.75" customHeight="1" x14ac:dyDescent="0.2">
      <c r="B20" s="116" t="s">
        <v>31</v>
      </c>
      <c r="C20" s="114"/>
      <c r="D20" s="111" t="s">
        <v>32</v>
      </c>
      <c r="E20" s="114"/>
      <c r="F20" s="112" t="s">
        <v>33</v>
      </c>
    </row>
    <row r="21" spans="2:6" ht="15.75" customHeight="1" x14ac:dyDescent="0.2">
      <c r="B21" s="116" t="s">
        <v>34</v>
      </c>
      <c r="C21" s="114"/>
      <c r="D21" s="111" t="s">
        <v>35</v>
      </c>
      <c r="E21" s="114"/>
      <c r="F21" s="112" t="s">
        <v>33</v>
      </c>
    </row>
    <row r="22" spans="2:6" ht="15.75" customHeight="1" x14ac:dyDescent="0.2">
      <c r="B22" s="116" t="s">
        <v>36</v>
      </c>
      <c r="C22" s="114"/>
      <c r="D22" s="111" t="s">
        <v>37</v>
      </c>
      <c r="E22" s="114"/>
      <c r="F22" s="112" t="s">
        <v>38</v>
      </c>
    </row>
    <row r="23" spans="2:6" ht="15.75" customHeight="1" x14ac:dyDescent="0.2">
      <c r="B23" s="116" t="s">
        <v>39</v>
      </c>
      <c r="C23" s="114"/>
      <c r="D23" s="111" t="s">
        <v>37</v>
      </c>
      <c r="E23" s="114"/>
      <c r="F23" s="112" t="s">
        <v>38</v>
      </c>
    </row>
    <row r="24" spans="2:6" ht="15.75" customHeight="1" x14ac:dyDescent="0.2">
      <c r="B24" s="116" t="s">
        <v>40</v>
      </c>
      <c r="C24" s="114"/>
      <c r="D24" s="111" t="s">
        <v>41</v>
      </c>
      <c r="E24" s="114"/>
      <c r="F24" s="112" t="s">
        <v>33</v>
      </c>
    </row>
    <row r="25" spans="2:6" ht="15.75" customHeight="1" x14ac:dyDescent="0.2">
      <c r="B25" s="116" t="s">
        <v>42</v>
      </c>
      <c r="C25" s="114"/>
      <c r="D25" s="111" t="s">
        <v>41</v>
      </c>
      <c r="E25" s="114"/>
      <c r="F25" s="112" t="s">
        <v>33</v>
      </c>
    </row>
    <row r="26" spans="2:6" ht="15.75" customHeight="1" x14ac:dyDescent="0.2">
      <c r="B26" s="116" t="s">
        <v>43</v>
      </c>
      <c r="C26" s="114"/>
      <c r="D26" s="111" t="s">
        <v>41</v>
      </c>
      <c r="E26" s="114"/>
      <c r="F26" s="112" t="s">
        <v>33</v>
      </c>
    </row>
    <row r="27" spans="2:6" ht="15.75" customHeight="1" x14ac:dyDescent="0.2">
      <c r="B27" s="116" t="s">
        <v>44</v>
      </c>
      <c r="C27" s="114"/>
      <c r="D27" s="111" t="s">
        <v>41</v>
      </c>
      <c r="E27" s="114"/>
      <c r="F27" s="112" t="s">
        <v>33</v>
      </c>
    </row>
    <row r="28" spans="2:6" ht="15.75" customHeight="1" x14ac:dyDescent="0.2">
      <c r="B28" s="116" t="s">
        <v>45</v>
      </c>
      <c r="C28" s="114"/>
      <c r="D28" s="111" t="s">
        <v>41</v>
      </c>
      <c r="E28" s="114"/>
      <c r="F28" s="112" t="s">
        <v>33</v>
      </c>
    </row>
    <row r="29" spans="2:6" ht="15.75" customHeight="1" x14ac:dyDescent="0.2">
      <c r="B29" s="116" t="s">
        <v>46</v>
      </c>
      <c r="C29" s="114"/>
      <c r="D29" s="111" t="s">
        <v>47</v>
      </c>
      <c r="E29" s="114"/>
      <c r="F29" s="112" t="s">
        <v>33</v>
      </c>
    </row>
    <row r="30" spans="2:6" ht="15.75" customHeight="1" x14ac:dyDescent="0.2">
      <c r="B30" s="116" t="s">
        <v>48</v>
      </c>
      <c r="C30" s="114"/>
      <c r="D30" s="111" t="s">
        <v>47</v>
      </c>
      <c r="E30" s="114"/>
      <c r="F30" s="112" t="s">
        <v>49</v>
      </c>
    </row>
    <row r="31" spans="2:6" ht="15.75" customHeight="1" x14ac:dyDescent="0.2">
      <c r="B31" s="116" t="s">
        <v>50</v>
      </c>
      <c r="C31" s="114"/>
      <c r="D31" s="111" t="s">
        <v>51</v>
      </c>
      <c r="E31" s="114"/>
      <c r="F31" s="112" t="s">
        <v>52</v>
      </c>
    </row>
    <row r="32" spans="2:6" ht="15.75" customHeight="1" x14ac:dyDescent="0.2">
      <c r="B32" s="116" t="s">
        <v>53</v>
      </c>
      <c r="C32" s="114"/>
      <c r="D32" s="111" t="s">
        <v>54</v>
      </c>
      <c r="E32" s="114"/>
      <c r="F32" s="112" t="s">
        <v>52</v>
      </c>
    </row>
    <row r="33" spans="2:8" ht="15.75" customHeight="1" x14ac:dyDescent="0.2">
      <c r="B33" s="116" t="s">
        <v>55</v>
      </c>
      <c r="C33" s="114"/>
      <c r="D33" s="111" t="s">
        <v>56</v>
      </c>
      <c r="E33" s="114"/>
      <c r="F33" s="112" t="s">
        <v>57</v>
      </c>
    </row>
    <row r="34" spans="2:8" ht="15.75" customHeight="1" x14ac:dyDescent="0.2">
      <c r="B34" s="116" t="s">
        <v>58</v>
      </c>
      <c r="C34" s="114"/>
      <c r="D34" s="111" t="s">
        <v>56</v>
      </c>
      <c r="E34" s="114"/>
      <c r="F34" s="112" t="s">
        <v>52</v>
      </c>
    </row>
    <row r="35" spans="2:8" ht="15.75" customHeight="1" x14ac:dyDescent="0.2">
      <c r="B35" s="116" t="s">
        <v>59</v>
      </c>
      <c r="C35" s="114"/>
      <c r="D35" s="111" t="s">
        <v>60</v>
      </c>
      <c r="E35" s="114"/>
      <c r="F35" s="112" t="s">
        <v>52</v>
      </c>
    </row>
    <row r="36" spans="2:8" ht="15.75" customHeight="1" x14ac:dyDescent="0.2">
      <c r="B36" s="116" t="s">
        <v>61</v>
      </c>
      <c r="C36" s="114"/>
      <c r="D36" s="111" t="s">
        <v>62</v>
      </c>
      <c r="E36" s="114"/>
      <c r="F36" s="112" t="s">
        <v>52</v>
      </c>
    </row>
    <row r="37" spans="2:8" ht="15.75" customHeight="1" x14ac:dyDescent="0.2">
      <c r="B37" s="116" t="s">
        <v>63</v>
      </c>
      <c r="C37" s="114"/>
      <c r="D37" s="111" t="s">
        <v>64</v>
      </c>
      <c r="E37" s="114"/>
      <c r="F37" s="112" t="s">
        <v>65</v>
      </c>
    </row>
    <row r="38" spans="2:8" ht="15.75" customHeight="1" x14ac:dyDescent="0.2">
      <c r="B38" s="116" t="s">
        <v>66</v>
      </c>
      <c r="C38" s="114"/>
      <c r="D38" s="111" t="s">
        <v>64</v>
      </c>
      <c r="E38" s="114"/>
      <c r="F38" s="112" t="s">
        <v>65</v>
      </c>
    </row>
    <row r="39" spans="2:8" ht="15.75" customHeight="1" x14ac:dyDescent="0.2">
      <c r="B39" s="116" t="s">
        <v>67</v>
      </c>
      <c r="C39" s="114"/>
      <c r="D39" s="111" t="s">
        <v>68</v>
      </c>
      <c r="E39" s="114"/>
      <c r="F39" s="112" t="s">
        <v>65</v>
      </c>
    </row>
    <row r="40" spans="2:8" ht="15.75" customHeight="1" x14ac:dyDescent="0.2">
      <c r="B40" s="116" t="s">
        <v>69</v>
      </c>
      <c r="C40" s="114"/>
      <c r="D40" s="111" t="s">
        <v>64</v>
      </c>
      <c r="E40" s="114"/>
      <c r="F40" s="112" t="s">
        <v>65</v>
      </c>
    </row>
    <row r="41" spans="2:8" ht="15.75" customHeight="1" x14ac:dyDescent="0.2">
      <c r="B41" s="116" t="s">
        <v>70</v>
      </c>
      <c r="C41" s="114"/>
      <c r="D41" s="111" t="s">
        <v>71</v>
      </c>
      <c r="E41" s="114"/>
      <c r="F41" s="112" t="s">
        <v>72</v>
      </c>
    </row>
    <row r="42" spans="2:8" ht="15.75" customHeight="1" x14ac:dyDescent="0.2">
      <c r="B42" s="116" t="s">
        <v>73</v>
      </c>
      <c r="C42" s="114"/>
      <c r="D42" s="111" t="s">
        <v>68</v>
      </c>
      <c r="E42" s="114"/>
      <c r="F42" s="112" t="s">
        <v>72</v>
      </c>
    </row>
    <row r="43" spans="2:8" ht="15.75" customHeight="1" x14ac:dyDescent="0.2">
      <c r="B43" s="116" t="s">
        <v>74</v>
      </c>
      <c r="C43" s="114"/>
      <c r="D43" s="111" t="s">
        <v>68</v>
      </c>
      <c r="E43" s="114"/>
      <c r="F43" s="112" t="s">
        <v>75</v>
      </c>
    </row>
    <row r="44" spans="2:8" ht="15.75" customHeight="1" x14ac:dyDescent="0.2">
      <c r="B44" s="116" t="s">
        <v>76</v>
      </c>
      <c r="C44" s="114"/>
      <c r="D44" s="111" t="s">
        <v>77</v>
      </c>
      <c r="E44" s="114"/>
      <c r="F44" s="112" t="s">
        <v>75</v>
      </c>
      <c r="H44" s="110"/>
    </row>
    <row r="45" spans="2:8" ht="15.75" customHeight="1" x14ac:dyDescent="0.2">
      <c r="B45" s="116" t="s">
        <v>78</v>
      </c>
      <c r="C45" s="114"/>
      <c r="D45" s="111" t="s">
        <v>79</v>
      </c>
      <c r="E45" s="114"/>
      <c r="F45" s="112" t="s">
        <v>33</v>
      </c>
      <c r="H45" s="110"/>
    </row>
    <row r="46" spans="2:8" ht="15.75" customHeight="1" x14ac:dyDescent="0.2">
      <c r="B46" s="116" t="s">
        <v>80</v>
      </c>
      <c r="C46" s="114"/>
      <c r="D46" s="111" t="s">
        <v>81</v>
      </c>
      <c r="E46" s="114"/>
      <c r="F46" s="112" t="s">
        <v>33</v>
      </c>
      <c r="H46" s="110"/>
    </row>
    <row r="47" spans="2:8" ht="15.75" customHeight="1" x14ac:dyDescent="0.2">
      <c r="B47" s="116" t="s">
        <v>82</v>
      </c>
      <c r="C47" s="114"/>
      <c r="D47" s="111" t="s">
        <v>79</v>
      </c>
      <c r="E47" s="114"/>
      <c r="F47" s="112" t="s">
        <v>83</v>
      </c>
      <c r="H47" s="110"/>
    </row>
    <row r="48" spans="2:8" ht="15.75" customHeight="1" x14ac:dyDescent="0.2">
      <c r="B48" s="116" t="s">
        <v>84</v>
      </c>
      <c r="C48" s="114"/>
      <c r="D48" s="111" t="s">
        <v>85</v>
      </c>
      <c r="E48" s="114"/>
      <c r="F48" s="112" t="s">
        <v>83</v>
      </c>
      <c r="H48" s="110"/>
    </row>
    <row r="49" spans="2:8" ht="15.75" customHeight="1" x14ac:dyDescent="0.2">
      <c r="B49" s="116" t="s">
        <v>86</v>
      </c>
      <c r="C49" s="114"/>
      <c r="D49" s="111" t="s">
        <v>87</v>
      </c>
      <c r="E49" s="114"/>
      <c r="F49" s="112" t="s">
        <v>33</v>
      </c>
      <c r="H49" s="110"/>
    </row>
    <row r="50" spans="2:8" ht="15.75" customHeight="1" x14ac:dyDescent="0.2">
      <c r="B50" s="116" t="s">
        <v>88</v>
      </c>
      <c r="C50" s="114"/>
      <c r="D50" s="111" t="s">
        <v>89</v>
      </c>
      <c r="E50" s="114"/>
      <c r="F50" s="112" t="s">
        <v>90</v>
      </c>
      <c r="H50" s="110"/>
    </row>
    <row r="51" spans="2:8" ht="15.75" customHeight="1" x14ac:dyDescent="0.2">
      <c r="B51" s="116" t="s">
        <v>91</v>
      </c>
      <c r="C51" s="114"/>
      <c r="D51" s="111" t="s">
        <v>92</v>
      </c>
      <c r="E51" s="114"/>
      <c r="F51" s="112" t="s">
        <v>33</v>
      </c>
      <c r="H51" s="110"/>
    </row>
    <row r="52" spans="2:8" ht="15.75" customHeight="1" x14ac:dyDescent="0.2">
      <c r="B52" s="116" t="s">
        <v>93</v>
      </c>
      <c r="C52" s="114"/>
      <c r="D52" s="111" t="s">
        <v>94</v>
      </c>
      <c r="E52" s="114"/>
      <c r="F52" s="112" t="s">
        <v>33</v>
      </c>
      <c r="H52" s="110"/>
    </row>
    <row r="53" spans="2:8" ht="15.75" customHeight="1" x14ac:dyDescent="0.2">
      <c r="B53" s="116" t="s">
        <v>95</v>
      </c>
      <c r="C53" s="114"/>
      <c r="D53" s="111" t="s">
        <v>92</v>
      </c>
      <c r="E53" s="114"/>
      <c r="F53" s="112" t="s">
        <v>33</v>
      </c>
    </row>
    <row r="54" spans="2:8" ht="15.75" customHeight="1" x14ac:dyDescent="0.2">
      <c r="B54" s="116" t="s">
        <v>96</v>
      </c>
      <c r="C54" s="114"/>
      <c r="D54" s="111" t="s">
        <v>97</v>
      </c>
      <c r="E54" s="114"/>
      <c r="F54" s="112" t="s">
        <v>98</v>
      </c>
    </row>
    <row r="55" spans="2:8" ht="15.75" customHeight="1" x14ac:dyDescent="0.2">
      <c r="B55" s="116" t="s">
        <v>99</v>
      </c>
      <c r="C55" s="114"/>
      <c r="D55" s="111" t="s">
        <v>100</v>
      </c>
      <c r="E55" s="114"/>
      <c r="F55" s="112" t="s">
        <v>90</v>
      </c>
    </row>
    <row r="56" spans="2:8" ht="15.75" customHeight="1" x14ac:dyDescent="0.2">
      <c r="B56" s="116" t="s">
        <v>101</v>
      </c>
      <c r="C56" s="114"/>
      <c r="D56" s="111" t="s">
        <v>102</v>
      </c>
      <c r="E56" s="114"/>
      <c r="F56" s="112" t="s">
        <v>90</v>
      </c>
    </row>
    <row r="57" spans="2:8" ht="15.75" customHeight="1" x14ac:dyDescent="0.2">
      <c r="B57" s="116" t="s">
        <v>103</v>
      </c>
      <c r="C57" s="114"/>
      <c r="D57" s="111" t="s">
        <v>100</v>
      </c>
      <c r="E57" s="114"/>
      <c r="F57" s="112" t="s">
        <v>104</v>
      </c>
    </row>
    <row r="58" spans="2:8" ht="15.75" customHeight="1" x14ac:dyDescent="0.2">
      <c r="B58" s="116" t="s">
        <v>105</v>
      </c>
      <c r="C58" s="114"/>
      <c r="D58" s="111" t="s">
        <v>106</v>
      </c>
      <c r="E58" s="114"/>
      <c r="F58" s="112" t="s">
        <v>90</v>
      </c>
    </row>
    <row r="59" spans="2:8" ht="15.75" customHeight="1" x14ac:dyDescent="0.2">
      <c r="B59" s="116" t="s">
        <v>107</v>
      </c>
      <c r="C59" s="114"/>
      <c r="D59" s="111" t="s">
        <v>108</v>
      </c>
      <c r="E59" s="114"/>
      <c r="F59" s="112" t="s">
        <v>109</v>
      </c>
    </row>
    <row r="60" spans="2:8" ht="15.75" customHeight="1" x14ac:dyDescent="0.2">
      <c r="B60" s="116" t="s">
        <v>110</v>
      </c>
      <c r="C60" s="114"/>
      <c r="D60" s="111" t="s">
        <v>111</v>
      </c>
      <c r="E60" s="114"/>
      <c r="F60" s="112" t="s">
        <v>90</v>
      </c>
    </row>
    <row r="61" spans="2:8" ht="15.75" customHeight="1" x14ac:dyDescent="0.2">
      <c r="B61" s="116" t="s">
        <v>112</v>
      </c>
      <c r="C61" s="114"/>
      <c r="D61" s="111" t="s">
        <v>113</v>
      </c>
      <c r="E61" s="114"/>
      <c r="F61" s="112" t="s">
        <v>114</v>
      </c>
    </row>
    <row r="62" spans="2:8" ht="15.75" customHeight="1" x14ac:dyDescent="0.2">
      <c r="B62" s="116" t="s">
        <v>115</v>
      </c>
      <c r="C62" s="114"/>
      <c r="D62" s="111" t="s">
        <v>116</v>
      </c>
      <c r="E62" s="114"/>
      <c r="F62" s="112" t="s">
        <v>114</v>
      </c>
    </row>
    <row r="63" spans="2:8" ht="15.75" customHeight="1" x14ac:dyDescent="0.2">
      <c r="B63" s="116" t="s">
        <v>117</v>
      </c>
      <c r="C63" s="114"/>
      <c r="D63" s="111" t="s">
        <v>118</v>
      </c>
      <c r="E63" s="114"/>
      <c r="F63" s="112" t="s">
        <v>119</v>
      </c>
    </row>
    <row r="64" spans="2:8" ht="15.75" customHeight="1" x14ac:dyDescent="0.2">
      <c r="B64" s="116" t="s">
        <v>120</v>
      </c>
      <c r="C64" s="114"/>
      <c r="D64" s="111" t="s">
        <v>121</v>
      </c>
      <c r="E64" s="114"/>
      <c r="F64" s="112" t="s">
        <v>33</v>
      </c>
    </row>
    <row r="65" spans="2:7" ht="15.75" customHeight="1" x14ac:dyDescent="0.2">
      <c r="B65" s="116" t="s">
        <v>122</v>
      </c>
      <c r="C65" s="114"/>
      <c r="D65" s="111" t="s">
        <v>118</v>
      </c>
      <c r="E65" s="114"/>
      <c r="F65" s="112" t="s">
        <v>119</v>
      </c>
    </row>
    <row r="66" spans="2:7" ht="15.75" customHeight="1" x14ac:dyDescent="0.2">
      <c r="B66" s="116" t="s">
        <v>123</v>
      </c>
      <c r="C66" s="114"/>
      <c r="D66" s="111" t="s">
        <v>124</v>
      </c>
      <c r="E66" s="114"/>
      <c r="F66" s="112" t="s">
        <v>125</v>
      </c>
    </row>
    <row r="67" spans="2:7" ht="15.75" customHeight="1" x14ac:dyDescent="0.2">
      <c r="B67" s="116" t="s">
        <v>126</v>
      </c>
      <c r="C67" s="114"/>
      <c r="D67" s="111" t="s">
        <v>127</v>
      </c>
      <c r="E67" s="114"/>
      <c r="F67" s="112" t="s">
        <v>33</v>
      </c>
      <c r="G67" s="109"/>
    </row>
    <row r="68" spans="2:7" ht="15.75" customHeight="1" x14ac:dyDescent="0.2">
      <c r="B68" s="116" t="s">
        <v>128</v>
      </c>
      <c r="C68" s="114"/>
      <c r="D68" s="111" t="s">
        <v>129</v>
      </c>
      <c r="E68" s="114"/>
      <c r="F68" s="112" t="s">
        <v>130</v>
      </c>
    </row>
    <row r="69" spans="2:7" ht="15.75" customHeight="1" x14ac:dyDescent="0.2">
      <c r="B69" s="116" t="s">
        <v>131</v>
      </c>
      <c r="C69" s="114"/>
      <c r="D69" s="111" t="s">
        <v>129</v>
      </c>
      <c r="E69" s="114"/>
      <c r="F69" s="112" t="s">
        <v>130</v>
      </c>
    </row>
    <row r="70" spans="2:7" ht="15.75" customHeight="1" x14ac:dyDescent="0.2">
      <c r="B70" s="116" t="s">
        <v>132</v>
      </c>
      <c r="C70" s="114"/>
      <c r="D70" s="111" t="s">
        <v>133</v>
      </c>
      <c r="E70" s="114"/>
      <c r="F70" s="112" t="s">
        <v>134</v>
      </c>
    </row>
    <row r="71" spans="2:7" ht="15.75" customHeight="1" x14ac:dyDescent="0.2">
      <c r="B71" s="116" t="s">
        <v>135</v>
      </c>
      <c r="C71" s="114"/>
      <c r="D71" s="111" t="s">
        <v>136</v>
      </c>
      <c r="E71" s="114"/>
      <c r="F71" s="112" t="s">
        <v>317</v>
      </c>
      <c r="G71" s="109"/>
    </row>
    <row r="72" spans="2:7" ht="15.75" customHeight="1" x14ac:dyDescent="0.2">
      <c r="B72" s="116" t="s">
        <v>137</v>
      </c>
      <c r="C72" s="114"/>
      <c r="D72" s="111" t="s">
        <v>138</v>
      </c>
      <c r="E72" s="114"/>
      <c r="F72" s="112"/>
    </row>
    <row r="73" spans="2:7" ht="15.75" customHeight="1" x14ac:dyDescent="0.2">
      <c r="B73" s="116" t="s">
        <v>139</v>
      </c>
      <c r="C73" s="114"/>
      <c r="D73" s="111" t="s">
        <v>140</v>
      </c>
      <c r="E73" s="114"/>
      <c r="F73" s="112"/>
    </row>
    <row r="74" spans="2:7" ht="15" customHeight="1" x14ac:dyDescent="0.2">
      <c r="B74" s="116" t="s">
        <v>141</v>
      </c>
      <c r="C74" s="114"/>
      <c r="D74" s="111" t="s">
        <v>142</v>
      </c>
      <c r="E74" s="114"/>
      <c r="F74" s="112"/>
    </row>
    <row r="75" spans="2:7" ht="15" customHeight="1" x14ac:dyDescent="0.2">
      <c r="B75" s="116" t="s">
        <v>143</v>
      </c>
      <c r="C75" s="114"/>
      <c r="D75" s="111" t="s">
        <v>144</v>
      </c>
      <c r="E75" s="114"/>
      <c r="F75" s="112"/>
    </row>
    <row r="76" spans="2:7" ht="15" customHeight="1" x14ac:dyDescent="0.2">
      <c r="B76" s="116" t="s">
        <v>145</v>
      </c>
      <c r="C76" s="114"/>
      <c r="D76" s="111" t="s">
        <v>144</v>
      </c>
      <c r="E76" s="114"/>
      <c r="F76" s="112"/>
    </row>
    <row r="77" spans="2:7" ht="15" customHeight="1" x14ac:dyDescent="0.2">
      <c r="B77" s="116" t="s">
        <v>146</v>
      </c>
      <c r="C77" s="114"/>
      <c r="D77" s="111" t="s">
        <v>147</v>
      </c>
      <c r="E77" s="114"/>
      <c r="F77" s="112"/>
    </row>
    <row r="78" spans="2:7" ht="15" customHeight="1" x14ac:dyDescent="0.2">
      <c r="B78" s="116" t="s">
        <v>148</v>
      </c>
      <c r="C78" s="114"/>
      <c r="D78" s="111" t="s">
        <v>149</v>
      </c>
      <c r="E78" s="114"/>
      <c r="F78" s="112"/>
    </row>
    <row r="79" spans="2:7" ht="15" customHeight="1" x14ac:dyDescent="0.2"/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password="CC01" sheet="1" objects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9" tint="-0.249977111117893"/>
  </sheetPr>
  <dimension ref="B2:J36"/>
  <sheetViews>
    <sheetView showGridLines="0" showRowColHeaders="0" workbookViewId="0"/>
  </sheetViews>
  <sheetFormatPr defaultRowHeight="12.75" x14ac:dyDescent="0.2"/>
  <cols>
    <col min="1" max="1" width="2.7109375" style="14" customWidth="1"/>
    <col min="2" max="2" width="8.140625" style="118" bestFit="1" customWidth="1"/>
    <col min="3" max="3" width="3.7109375" style="14" customWidth="1"/>
    <col min="4" max="4" width="22.7109375" style="14" customWidth="1"/>
    <col min="5" max="5" width="20.42578125" style="14" customWidth="1"/>
    <col min="6" max="6" width="2.7109375" style="14" customWidth="1"/>
    <col min="7" max="7" width="8.140625" style="118" bestFit="1" customWidth="1"/>
    <col min="8" max="8" width="3.7109375" style="14" customWidth="1"/>
    <col min="9" max="9" width="12.7109375" style="14" customWidth="1"/>
    <col min="10" max="10" width="39.140625" style="14" customWidth="1"/>
    <col min="11" max="16384" width="9.140625" style="14"/>
  </cols>
  <sheetData>
    <row r="2" spans="2:10" x14ac:dyDescent="0.2">
      <c r="B2" s="128" t="s">
        <v>179</v>
      </c>
      <c r="C2" s="123"/>
      <c r="D2" s="128" t="s">
        <v>15</v>
      </c>
      <c r="E2" s="128" t="s">
        <v>195</v>
      </c>
      <c r="G2" s="128" t="s">
        <v>179</v>
      </c>
      <c r="H2" s="123"/>
      <c r="I2" s="128" t="s">
        <v>187</v>
      </c>
      <c r="J2" s="128" t="s">
        <v>195</v>
      </c>
    </row>
    <row r="3" spans="2:10" ht="24.75" customHeight="1" x14ac:dyDescent="0.2">
      <c r="B3" s="126">
        <v>7</v>
      </c>
      <c r="C3" s="113"/>
      <c r="D3" s="120" t="s">
        <v>154</v>
      </c>
      <c r="E3" s="125" t="s">
        <v>225</v>
      </c>
      <c r="G3" s="126">
        <v>16</v>
      </c>
      <c r="H3" s="113"/>
      <c r="I3" s="119" t="s">
        <v>0</v>
      </c>
      <c r="J3" s="125" t="s">
        <v>232</v>
      </c>
    </row>
    <row r="4" spans="2:10" ht="24.75" customHeight="1" x14ac:dyDescent="0.2">
      <c r="B4" s="126">
        <v>7</v>
      </c>
      <c r="C4" s="124"/>
      <c r="D4" s="119" t="s">
        <v>1</v>
      </c>
      <c r="E4" s="125" t="s">
        <v>321</v>
      </c>
      <c r="G4" s="127">
        <v>10</v>
      </c>
      <c r="H4" s="113"/>
      <c r="I4" s="119" t="s">
        <v>19</v>
      </c>
      <c r="J4" s="112" t="s">
        <v>404</v>
      </c>
    </row>
    <row r="5" spans="2:10" ht="24.75" customHeight="1" x14ac:dyDescent="0.2">
      <c r="B5" s="127">
        <v>5</v>
      </c>
      <c r="C5" s="131"/>
      <c r="D5" s="120" t="s">
        <v>155</v>
      </c>
      <c r="E5" s="125" t="s">
        <v>226</v>
      </c>
      <c r="G5" s="127">
        <v>9</v>
      </c>
      <c r="H5" s="124"/>
      <c r="I5" s="119" t="s">
        <v>12</v>
      </c>
      <c r="J5" s="125" t="s">
        <v>246</v>
      </c>
    </row>
    <row r="6" spans="2:10" ht="12.75" customHeight="1" x14ac:dyDescent="0.2">
      <c r="B6" s="127">
        <v>4</v>
      </c>
      <c r="C6" s="131"/>
      <c r="D6" s="121" t="s">
        <v>157</v>
      </c>
      <c r="E6" s="125" t="s">
        <v>197</v>
      </c>
      <c r="G6" s="127">
        <v>8</v>
      </c>
      <c r="H6" s="124"/>
      <c r="I6" s="122" t="s">
        <v>241</v>
      </c>
      <c r="J6" s="125" t="s">
        <v>327</v>
      </c>
    </row>
    <row r="7" spans="2:10" ht="12.75" customHeight="1" x14ac:dyDescent="0.2">
      <c r="B7" s="127">
        <v>4</v>
      </c>
      <c r="C7" s="124"/>
      <c r="D7" s="121" t="s">
        <v>4</v>
      </c>
      <c r="E7" s="125" t="s">
        <v>299</v>
      </c>
      <c r="G7" s="127">
        <v>7</v>
      </c>
      <c r="H7" s="124"/>
      <c r="I7" s="121" t="s">
        <v>269</v>
      </c>
      <c r="J7" s="125" t="s">
        <v>227</v>
      </c>
    </row>
    <row r="8" spans="2:10" ht="12.75" customHeight="1" x14ac:dyDescent="0.2">
      <c r="B8" s="127">
        <v>4</v>
      </c>
      <c r="C8" s="131"/>
      <c r="D8" s="122" t="s">
        <v>305</v>
      </c>
      <c r="E8" s="125" t="s">
        <v>326</v>
      </c>
      <c r="G8" s="127">
        <v>6</v>
      </c>
      <c r="H8" s="124"/>
      <c r="I8" s="122" t="s">
        <v>11</v>
      </c>
      <c r="J8" s="125" t="s">
        <v>328</v>
      </c>
    </row>
    <row r="9" spans="2:10" x14ac:dyDescent="0.2">
      <c r="B9" s="127">
        <v>3</v>
      </c>
      <c r="C9" s="131"/>
      <c r="D9" s="121" t="s">
        <v>172</v>
      </c>
      <c r="E9" s="125" t="s">
        <v>198</v>
      </c>
      <c r="G9" s="127">
        <v>2</v>
      </c>
      <c r="H9" s="124"/>
      <c r="I9" s="121" t="s">
        <v>181</v>
      </c>
      <c r="J9" s="125" t="s">
        <v>228</v>
      </c>
    </row>
    <row r="10" spans="2:10" x14ac:dyDescent="0.2">
      <c r="B10" s="127">
        <v>3</v>
      </c>
      <c r="C10" s="124"/>
      <c r="D10" s="121" t="s">
        <v>192</v>
      </c>
      <c r="E10" s="125" t="s">
        <v>245</v>
      </c>
      <c r="G10" s="127">
        <v>2</v>
      </c>
      <c r="H10" s="124"/>
      <c r="I10" s="121" t="s">
        <v>180</v>
      </c>
      <c r="J10" s="125" t="s">
        <v>229</v>
      </c>
    </row>
    <row r="11" spans="2:10" x14ac:dyDescent="0.2">
      <c r="B11" s="127">
        <v>3</v>
      </c>
      <c r="C11" s="124"/>
      <c r="D11" s="121" t="s">
        <v>165</v>
      </c>
      <c r="E11" s="125" t="s">
        <v>199</v>
      </c>
      <c r="G11" s="127">
        <v>2</v>
      </c>
      <c r="H11" s="124"/>
      <c r="I11" s="121" t="s">
        <v>2</v>
      </c>
      <c r="J11" s="125" t="s">
        <v>207</v>
      </c>
    </row>
    <row r="12" spans="2:10" x14ac:dyDescent="0.2">
      <c r="B12" s="127">
        <v>3</v>
      </c>
      <c r="C12" s="124"/>
      <c r="D12" s="121" t="s">
        <v>158</v>
      </c>
      <c r="E12" s="125" t="s">
        <v>200</v>
      </c>
      <c r="G12" s="127">
        <v>1</v>
      </c>
      <c r="H12" s="124"/>
      <c r="I12" s="121" t="s">
        <v>224</v>
      </c>
      <c r="J12" s="125" t="s">
        <v>209</v>
      </c>
    </row>
    <row r="13" spans="2:10" x14ac:dyDescent="0.2">
      <c r="B13" s="127">
        <v>3</v>
      </c>
      <c r="C13" s="131"/>
      <c r="D13" s="121" t="s">
        <v>156</v>
      </c>
      <c r="E13" s="125" t="s">
        <v>201</v>
      </c>
      <c r="G13" s="127">
        <v>1</v>
      </c>
      <c r="H13" s="124"/>
      <c r="I13" s="121" t="s">
        <v>185</v>
      </c>
      <c r="J13" s="125" t="s">
        <v>196</v>
      </c>
    </row>
    <row r="14" spans="2:10" x14ac:dyDescent="0.2">
      <c r="B14" s="127">
        <v>2</v>
      </c>
      <c r="C14" s="124"/>
      <c r="D14" s="121" t="s">
        <v>177</v>
      </c>
      <c r="E14" s="125" t="s">
        <v>202</v>
      </c>
      <c r="G14" s="127">
        <v>1</v>
      </c>
      <c r="H14" s="124"/>
      <c r="I14" s="121" t="s">
        <v>184</v>
      </c>
      <c r="J14" s="125" t="s">
        <v>230</v>
      </c>
    </row>
    <row r="15" spans="2:10" x14ac:dyDescent="0.2">
      <c r="B15" s="127">
        <v>2</v>
      </c>
      <c r="C15" s="124"/>
      <c r="D15" s="121" t="s">
        <v>171</v>
      </c>
      <c r="E15" s="125" t="s">
        <v>203</v>
      </c>
      <c r="G15" s="127">
        <v>1</v>
      </c>
      <c r="H15" s="124"/>
      <c r="I15" s="121" t="s">
        <v>183</v>
      </c>
      <c r="J15" s="125" t="s">
        <v>231</v>
      </c>
    </row>
    <row r="16" spans="2:10" x14ac:dyDescent="0.2">
      <c r="B16" s="127">
        <v>2</v>
      </c>
      <c r="C16" s="124"/>
      <c r="D16" s="121" t="s">
        <v>173</v>
      </c>
      <c r="E16" s="125" t="s">
        <v>204</v>
      </c>
      <c r="G16" s="127">
        <v>1</v>
      </c>
      <c r="H16" s="124"/>
      <c r="I16" s="121" t="s">
        <v>182</v>
      </c>
      <c r="J16" s="125" t="s">
        <v>235</v>
      </c>
    </row>
    <row r="17" spans="2:10" x14ac:dyDescent="0.2">
      <c r="B17" s="127">
        <v>2</v>
      </c>
      <c r="C17" s="124"/>
      <c r="D17" s="121" t="s">
        <v>159</v>
      </c>
      <c r="E17" s="125" t="s">
        <v>205</v>
      </c>
      <c r="G17" s="127">
        <v>1</v>
      </c>
      <c r="H17" s="124"/>
      <c r="I17" s="121" t="s">
        <v>186</v>
      </c>
      <c r="J17" s="125" t="s">
        <v>223</v>
      </c>
    </row>
    <row r="18" spans="2:10" x14ac:dyDescent="0.2">
      <c r="B18" s="127">
        <v>2</v>
      </c>
      <c r="C18" s="124"/>
      <c r="D18" s="121" t="s">
        <v>160</v>
      </c>
      <c r="E18" s="125" t="s">
        <v>206</v>
      </c>
    </row>
    <row r="19" spans="2:10" x14ac:dyDescent="0.2">
      <c r="B19" s="127">
        <v>2</v>
      </c>
      <c r="C19" s="131"/>
      <c r="D19" s="121" t="s">
        <v>30</v>
      </c>
      <c r="E19" s="125" t="s">
        <v>207</v>
      </c>
    </row>
    <row r="20" spans="2:10" x14ac:dyDescent="0.2">
      <c r="B20" s="127">
        <v>1</v>
      </c>
      <c r="C20" s="131"/>
      <c r="D20" s="121" t="s">
        <v>178</v>
      </c>
      <c r="E20" s="125" t="s">
        <v>208</v>
      </c>
    </row>
    <row r="21" spans="2:10" x14ac:dyDescent="0.2">
      <c r="B21" s="127">
        <v>1</v>
      </c>
      <c r="C21" s="124"/>
      <c r="D21" s="121" t="s">
        <v>176</v>
      </c>
      <c r="E21" s="125" t="s">
        <v>209</v>
      </c>
    </row>
    <row r="22" spans="2:10" x14ac:dyDescent="0.2">
      <c r="B22" s="127">
        <v>1</v>
      </c>
      <c r="C22" s="131"/>
      <c r="D22" s="121" t="s">
        <v>175</v>
      </c>
      <c r="E22" s="125" t="s">
        <v>210</v>
      </c>
    </row>
    <row r="23" spans="2:10" x14ac:dyDescent="0.2">
      <c r="B23" s="127">
        <v>1</v>
      </c>
      <c r="C23" s="124"/>
      <c r="D23" s="121" t="s">
        <v>174</v>
      </c>
      <c r="E23" s="125" t="s">
        <v>211</v>
      </c>
    </row>
    <row r="24" spans="2:10" x14ac:dyDescent="0.2">
      <c r="B24" s="127">
        <v>1</v>
      </c>
      <c r="C24" s="124"/>
      <c r="D24" s="121" t="s">
        <v>193</v>
      </c>
      <c r="E24" s="125" t="s">
        <v>212</v>
      </c>
    </row>
    <row r="25" spans="2:10" x14ac:dyDescent="0.2">
      <c r="B25" s="127">
        <v>1</v>
      </c>
      <c r="C25" s="131"/>
      <c r="D25" s="121" t="s">
        <v>170</v>
      </c>
      <c r="E25" s="125" t="s">
        <v>213</v>
      </c>
    </row>
    <row r="26" spans="2:10" x14ac:dyDescent="0.2">
      <c r="B26" s="127">
        <v>1</v>
      </c>
      <c r="C26" s="124"/>
      <c r="D26" s="121" t="s">
        <v>169</v>
      </c>
      <c r="E26" s="125" t="s">
        <v>214</v>
      </c>
    </row>
    <row r="27" spans="2:10" x14ac:dyDescent="0.2">
      <c r="B27" s="127">
        <v>1</v>
      </c>
      <c r="C27" s="124"/>
      <c r="D27" s="121" t="s">
        <v>194</v>
      </c>
      <c r="E27" s="125" t="s">
        <v>215</v>
      </c>
    </row>
    <row r="28" spans="2:10" x14ac:dyDescent="0.2">
      <c r="B28" s="127">
        <v>1</v>
      </c>
      <c r="C28" s="131"/>
      <c r="D28" s="121" t="s">
        <v>168</v>
      </c>
      <c r="E28" s="125" t="s">
        <v>216</v>
      </c>
    </row>
    <row r="29" spans="2:10" x14ac:dyDescent="0.2">
      <c r="B29" s="127">
        <v>1</v>
      </c>
      <c r="C29" s="124"/>
      <c r="D29" s="121" t="s">
        <v>167</v>
      </c>
      <c r="E29" s="125" t="s">
        <v>217</v>
      </c>
    </row>
    <row r="30" spans="2:10" x14ac:dyDescent="0.2">
      <c r="B30" s="127">
        <v>1</v>
      </c>
      <c r="C30" s="131"/>
      <c r="D30" s="121" t="s">
        <v>166</v>
      </c>
      <c r="E30" s="125" t="s">
        <v>218</v>
      </c>
    </row>
    <row r="31" spans="2:10" x14ac:dyDescent="0.2">
      <c r="B31" s="127">
        <v>1</v>
      </c>
      <c r="C31" s="124"/>
      <c r="D31" s="121" t="s">
        <v>164</v>
      </c>
      <c r="E31" s="125" t="s">
        <v>219</v>
      </c>
    </row>
    <row r="32" spans="2:10" x14ac:dyDescent="0.2">
      <c r="B32" s="127">
        <v>1</v>
      </c>
      <c r="C32" s="124"/>
      <c r="D32" s="121" t="s">
        <v>163</v>
      </c>
      <c r="E32" s="125" t="s">
        <v>220</v>
      </c>
    </row>
    <row r="33" spans="2:5" x14ac:dyDescent="0.2">
      <c r="B33" s="127">
        <v>1</v>
      </c>
      <c r="C33" s="131"/>
      <c r="D33" s="121" t="s">
        <v>162</v>
      </c>
      <c r="E33" s="125" t="s">
        <v>221</v>
      </c>
    </row>
    <row r="34" spans="2:5" x14ac:dyDescent="0.2">
      <c r="B34" s="127">
        <v>1</v>
      </c>
      <c r="C34" s="131"/>
      <c r="D34" s="121" t="s">
        <v>161</v>
      </c>
      <c r="E34" s="125" t="s">
        <v>222</v>
      </c>
    </row>
    <row r="35" spans="2:5" x14ac:dyDescent="0.2">
      <c r="B35" s="127">
        <v>1</v>
      </c>
      <c r="C35" s="131"/>
      <c r="D35" s="121" t="s">
        <v>13</v>
      </c>
      <c r="E35" s="125" t="s">
        <v>223</v>
      </c>
    </row>
    <row r="36" spans="2:5" x14ac:dyDescent="0.2">
      <c r="B36" s="127">
        <v>1</v>
      </c>
      <c r="C36" s="124"/>
      <c r="D36" s="121" t="s">
        <v>3</v>
      </c>
      <c r="E36" s="125" t="s">
        <v>309</v>
      </c>
    </row>
  </sheetData>
  <sheetProtection algorithmName="SHA-512" hashValue="wxJb0T1IjTo0EOHbPe9TNvlIJEruM1o943HtM/dtG/uMWAbl1WbevBvZOVD4AzPT7dGJWLD24zB0T3B5cTR9Gg==" saltValue="7jjJ77SpWxHml6xfB41hLg==" spinCount="100000" sheet="1" objects="1" selectLockedCells="1" selectUnlockedCells="1"/>
  <sortState xmlns:xlrd2="http://schemas.microsoft.com/office/spreadsheetml/2017/richdata2" ref="B3:D10">
    <sortCondition descending="1" ref="B3"/>
  </sortState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2c8c20e6-817c-474f-b9c2-eb2b1ac24837"/>
    <ds:schemaRef ds:uri="http://purl.org/dc/terms/"/>
    <ds:schemaRef ds:uri="http://schemas.microsoft.com/office/2006/documentManagement/types"/>
    <ds:schemaRef ds:uri="http://www.w3.org/XML/1998/namespace"/>
    <ds:schemaRef ds:uri="dc8c2798-6aba-4af7-93a4-b89253b03650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2025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2025'!Area_de_impressao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2025-12-01T12:27:34Z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